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a\Documents\"/>
    </mc:Choice>
  </mc:AlternateContent>
  <xr:revisionPtr revIDLastSave="0" documentId="13_ncr:1_{727FF516-932B-4E89-AC2C-1E9F43435D28}" xr6:coauthVersionLast="47" xr6:coauthVersionMax="47" xr10:uidLastSave="{00000000-0000-0000-0000-000000000000}"/>
  <bookViews>
    <workbookView xWindow="28680" yWindow="-120" windowWidth="29040" windowHeight="15720" activeTab="2" xr2:uid="{7DDA2E4E-0C08-4CBB-BE29-35AF2C41149A}"/>
  </bookViews>
  <sheets>
    <sheet name="README" sheetId="1" r:id="rId1"/>
    <sheet name="DATA_DICTIONARY" sheetId="2" r:id="rId2"/>
    <sheet name="Enrollment_Log" sheetId="3" r:id="rId3"/>
    <sheet name="QC_Query_Log" sheetId="4" r:id="rId4"/>
    <sheet name="Vital_Sign_Alerts" sheetId="5" r:id="rId5"/>
    <sheet name="Daily_Status_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5" i="6"/>
  <c r="B4" i="6"/>
  <c r="B3" i="6"/>
  <c r="B6" i="6"/>
  <c r="F3" i="4"/>
  <c r="F4" i="4"/>
  <c r="F5" i="4"/>
  <c r="J5" i="4" s="1"/>
  <c r="F6" i="4"/>
  <c r="J6" i="4" s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D3" i="4"/>
  <c r="D4" i="4"/>
  <c r="D5" i="4"/>
  <c r="D6" i="4"/>
  <c r="D7" i="4"/>
  <c r="D8" i="4"/>
  <c r="D9" i="4"/>
  <c r="D10" i="4"/>
  <c r="D11" i="4"/>
  <c r="D12" i="4"/>
  <c r="J12" i="4" s="1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J10" i="4"/>
  <c r="J23" i="4"/>
  <c r="J26" i="4"/>
  <c r="J30" i="4"/>
  <c r="D2" i="4"/>
  <c r="J3" i="4"/>
  <c r="J4" i="4"/>
  <c r="J9" i="4"/>
  <c r="J11" i="4"/>
  <c r="J19" i="4"/>
  <c r="J20" i="4"/>
  <c r="J21" i="4"/>
  <c r="J22" i="4"/>
  <c r="J25" i="4"/>
  <c r="J27" i="4"/>
  <c r="J28" i="4"/>
  <c r="J29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B2" i="4"/>
  <c r="A2" i="4"/>
  <c r="E5" i="5"/>
  <c r="E6" i="5"/>
  <c r="E8" i="5"/>
  <c r="E9" i="5"/>
  <c r="E11" i="5"/>
  <c r="E12" i="5"/>
  <c r="E20" i="5"/>
  <c r="E25" i="5"/>
  <c r="D3" i="5"/>
  <c r="E3" i="5" s="1"/>
  <c r="D4" i="5"/>
  <c r="D5" i="5"/>
  <c r="D6" i="5"/>
  <c r="D7" i="5"/>
  <c r="E7" i="5" s="1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C3" i="5"/>
  <c r="C4" i="5"/>
  <c r="E4" i="5" s="1"/>
  <c r="C5" i="5"/>
  <c r="C6" i="5"/>
  <c r="C7" i="5"/>
  <c r="C8" i="5"/>
  <c r="C9" i="5"/>
  <c r="C10" i="5"/>
  <c r="C11" i="5"/>
  <c r="C12" i="5"/>
  <c r="C13" i="5"/>
  <c r="C14" i="5"/>
  <c r="C15" i="5"/>
  <c r="E15" i="5" s="1"/>
  <c r="C16" i="5"/>
  <c r="C17" i="5"/>
  <c r="C18" i="5"/>
  <c r="C19" i="5"/>
  <c r="E19" i="5" s="1"/>
  <c r="C20" i="5"/>
  <c r="C21" i="5"/>
  <c r="E21" i="5" s="1"/>
  <c r="C22" i="5"/>
  <c r="E22" i="5" s="1"/>
  <c r="C23" i="5"/>
  <c r="E23" i="5" s="1"/>
  <c r="C24" i="5"/>
  <c r="C25" i="5"/>
  <c r="C26" i="5"/>
  <c r="C27" i="5"/>
  <c r="E27" i="5" s="1"/>
  <c r="C28" i="5"/>
  <c r="C29" i="5"/>
  <c r="C30" i="5"/>
  <c r="C31" i="5"/>
  <c r="B3" i="5"/>
  <c r="B4" i="5"/>
  <c r="B5" i="5"/>
  <c r="B6" i="5"/>
  <c r="B7" i="5"/>
  <c r="B8" i="5"/>
  <c r="B9" i="5"/>
  <c r="B10" i="5"/>
  <c r="B11" i="5"/>
  <c r="B12" i="5"/>
  <c r="B13" i="5"/>
  <c r="E13" i="5" s="1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M32" i="3"/>
  <c r="M33" i="3"/>
  <c r="D2" i="5"/>
  <c r="C2" i="5"/>
  <c r="E31" i="5" l="1"/>
  <c r="E16" i="5"/>
  <c r="E14" i="5"/>
  <c r="E10" i="5"/>
  <c r="J17" i="4"/>
  <c r="J7" i="4"/>
  <c r="J8" i="4"/>
  <c r="J31" i="4"/>
  <c r="J18" i="4"/>
  <c r="J16" i="4"/>
  <c r="J15" i="4"/>
  <c r="J14" i="4"/>
  <c r="J13" i="4"/>
  <c r="J24" i="4"/>
  <c r="E30" i="5"/>
  <c r="E28" i="5"/>
  <c r="E18" i="5"/>
  <c r="E17" i="5"/>
  <c r="E29" i="5"/>
  <c r="E26" i="5"/>
  <c r="E24" i="5"/>
  <c r="B2" i="5"/>
  <c r="E2" i="5" s="1"/>
  <c r="A2" i="5"/>
</calcChain>
</file>

<file path=xl/sharedStrings.xml><?xml version="1.0" encoding="utf-8"?>
<sst xmlns="http://schemas.openxmlformats.org/spreadsheetml/2006/main" count="405" uniqueCount="202">
  <si>
    <t>A Day in the Life: Clinical Research Coordinator (CRC) — Sample Workflow</t>
  </si>
  <si>
    <t>PURPOSE</t>
  </si>
  <si>
    <t>This workbook simulates the core daily tasks of a Clinical Research Coordinator, built around a REDCap-style data dictionary.</t>
  </si>
  <si>
    <t>DATA SOURCE</t>
  </si>
  <si>
    <t>Participant vital signs and demographics in this workbook are illustrative sample data for portfolio purposes, generated to follow realistic clinical ranges.</t>
  </si>
  <si>
    <t>HOW TO USE THIS WORKBOOK</t>
  </si>
  <si>
    <t>1. DATA_DICTIONARY - the study's field specifications
2. Enrollment_Log - raw data entry, one row per participant
3. QC_Query_Log - automatic checks for data-entry errors
4. Vital_Sign_Alerts - flags dangerous vital sign readings
5. Daily_Status_Report - end-of-day summary for the study lead</t>
  </si>
  <si>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</si>
  <si>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</si>
  <si>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</si>
  <si>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</si>
  <si>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</si>
  <si>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</si>
  <si>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</si>
  <si>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</si>
  <si>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</si>
  <si>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</si>
  <si>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</si>
  <si>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</t>
  </si>
  <si>
    <t>Required Field?</t>
  </si>
  <si>
    <t>Custom Alignment</t>
  </si>
  <si>
    <t>Question Number</t>
  </si>
  <si>
    <t>Matrix Group Name</t>
  </si>
  <si>
    <t>Matrix Ranking?</t>
  </si>
  <si>
    <t>Field Annotation</t>
  </si>
  <si>
    <t>record_id</t>
  </si>
  <si>
    <t>demographics</t>
  </si>
  <si>
    <t>Study Registration</t>
  </si>
  <si>
    <t>text</t>
  </si>
  <si>
    <t>Participant ID</t>
  </si>
  <si>
    <t>Auto-generated or assigned study ID</t>
  </si>
  <si>
    <t>y</t>
  </si>
  <si>
    <t>sub_initials</t>
  </si>
  <si>
    <t>Participant Initials</t>
  </si>
  <si>
    <t>AB</t>
  </si>
  <si>
    <t>dob</t>
  </si>
  <si>
    <t>Date of Birth</t>
  </si>
  <si>
    <t>date_ymd</t>
  </si>
  <si>
    <t>sex</t>
  </si>
  <si>
    <t>Demographic Information</t>
  </si>
  <si>
    <t>radio</t>
  </si>
  <si>
    <t>Biological Sex</t>
  </si>
  <si>
    <t>1, Male | 2, Female | 3, Intersex | 99, Unknown</t>
  </si>
  <si>
    <t>ethnicity</t>
  </si>
  <si>
    <t>dropdown</t>
  </si>
  <si>
    <t>Ethnicity</t>
  </si>
  <si>
    <t>1, Hispanic or Latino | 2, Not Hispanic or Latino | 99, Unknown</t>
  </si>
  <si>
    <t>height_cm</t>
  </si>
  <si>
    <t>vitals_and_labs</t>
  </si>
  <si>
    <t>Physical Examination</t>
  </si>
  <si>
    <t>Height</t>
  </si>
  <si>
    <t>Centimeters (cm)</t>
  </si>
  <si>
    <t>number</t>
  </si>
  <si>
    <t>weight_kg</t>
  </si>
  <si>
    <t>Weight</t>
  </si>
  <si>
    <t>Kilograms (kg)</t>
  </si>
  <si>
    <t>sys_bp</t>
  </si>
  <si>
    <t>Vital Signs</t>
  </si>
  <si>
    <t>Systolic Blood Pressure</t>
  </si>
  <si>
    <t>mmHg</t>
  </si>
  <si>
    <t>integer</t>
  </si>
  <si>
    <t>dia_bp</t>
  </si>
  <si>
    <t>Diastolic Blood Pressure</t>
  </si>
  <si>
    <t>heart_rate</t>
  </si>
  <si>
    <t>Heart Rate</t>
  </si>
  <si>
    <t>Beats per minute (bpm)</t>
  </si>
  <si>
    <t>bmi</t>
  </si>
  <si>
    <t>calc</t>
  </si>
  <si>
    <t>Body Mass Index (BMI)</t>
  </si>
  <si>
    <t>round(([weight_kg] / (([height_cm]/100)^2)), 1)</t>
  </si>
  <si>
    <t>Calculated automatically in kg/m²</t>
  </si>
  <si>
    <t>map_mmHg</t>
  </si>
  <si>
    <t>Mean Arterial Pressure (MAP)</t>
  </si>
  <si>
    <t>round((([sys_bp]+ (2*[dia_bp]))/3),1)</t>
  </si>
  <si>
    <t>Calculated automatically in mmHg</t>
  </si>
  <si>
    <t>diabetes_hx</t>
  </si>
  <si>
    <t>medical_history</t>
  </si>
  <si>
    <t>Medical History &amp; Conditions</t>
  </si>
  <si>
    <t>Has the participant ever been diagnosed with Diabetes?</t>
  </si>
  <si>
    <t>1, Yes | 0, No | 99, Unknown</t>
  </si>
  <si>
    <t>diabetes_type</t>
  </si>
  <si>
    <t>Specify Diabetes Type</t>
  </si>
  <si>
    <t>1, Type 1 | 2, Type 2 | 3, Gestational | 4, Other</t>
  </si>
  <si>
    <t>[diabetes_hx] = '1'</t>
  </si>
  <si>
    <t>pregnant</t>
  </si>
  <si>
    <t>Reproductive Health</t>
  </si>
  <si>
    <t>Is the participant currently pregnant?</t>
  </si>
  <si>
    <t>1, Yes | 0, No | 99, Not Applicable / Unknown</t>
  </si>
  <si>
    <t>[sex] = '2'</t>
  </si>
  <si>
    <t>edd</t>
  </si>
  <si>
    <t>Estimated Date of Delivery (EDD)</t>
  </si>
  <si>
    <t>[pregnant] = '1'</t>
  </si>
  <si>
    <t>sym_fatigue</t>
  </si>
  <si>
    <t>symptom_checklist</t>
  </si>
  <si>
    <t>Baseline Symptom Assessment</t>
  </si>
  <si>
    <t>Over the past 7 days, how often have you experienced Fatigue?</t>
  </si>
  <si>
    <t>0, Never | 1, Mild | 2, Moderate | 3, Severe</t>
  </si>
  <si>
    <t>symptom_grid</t>
  </si>
  <si>
    <t>sym_nausea</t>
  </si>
  <si>
    <t>Over the past 7 days, how often have you experienced Nausea?</t>
  </si>
  <si>
    <t>sym_headache</t>
  </si>
  <si>
    <t>Over the past 7 days, how often have you experienced Headaches?</t>
  </si>
  <si>
    <t>curr_meds</t>
  </si>
  <si>
    <t>concomitant_medications</t>
  </si>
  <si>
    <t>Concomitant Medications</t>
  </si>
  <si>
    <t>checkbox</t>
  </si>
  <si>
    <t>Select all medication classes the participant is currently taking:</t>
  </si>
  <si>
    <t>1, Antihypertensives | 2, Statins | 3, Antidiabetics | 4, Analgesics | 99, None</t>
  </si>
  <si>
    <t>admin_notes</t>
  </si>
  <si>
    <t>administrative_log</t>
  </si>
  <si>
    <t>Study Administration &amp; Sign-off</t>
  </si>
  <si>
    <t>notes</t>
  </si>
  <si>
    <t>Clinical Coordinator Notes</t>
  </si>
  <si>
    <t>Enter any protocol deviations or additional context</t>
  </si>
  <si>
    <t>entry_date</t>
  </si>
  <si>
    <t>Date of Data Entry Completion</t>
  </si>
  <si>
    <t>@TODAY</t>
  </si>
  <si>
    <t xml:space="preserve">record_id </t>
  </si>
  <si>
    <t>map_mmhg</t>
  </si>
  <si>
    <t>A.B.</t>
  </si>
  <si>
    <t>C.D.</t>
  </si>
  <si>
    <t>E.F.</t>
  </si>
  <si>
    <t>alert_status</t>
  </si>
  <si>
    <t>Daily Status Report</t>
  </si>
  <si>
    <t>Total Participant Enrolled</t>
  </si>
  <si>
    <t>Participats with Diabetes</t>
  </si>
  <si>
    <t>Average_BMI</t>
  </si>
  <si>
    <t>Data Quality Isuues Flagged</t>
  </si>
  <si>
    <t>Urgent Vital Sign Alerts</t>
  </si>
  <si>
    <t>G.H</t>
  </si>
  <si>
    <t>I.J</t>
  </si>
  <si>
    <t>K.L</t>
  </si>
  <si>
    <t>M.N</t>
  </si>
  <si>
    <t>O.P</t>
  </si>
  <si>
    <t>Q.R</t>
  </si>
  <si>
    <t>S.T</t>
  </si>
  <si>
    <t>U.V</t>
  </si>
  <si>
    <t>W.X</t>
  </si>
  <si>
    <t>Y.Z</t>
  </si>
  <si>
    <t>Z.A</t>
  </si>
  <si>
    <t>B.C</t>
  </si>
  <si>
    <t>D.E</t>
  </si>
  <si>
    <t>F.G</t>
  </si>
  <si>
    <t>H.I</t>
  </si>
  <si>
    <t>J.K</t>
  </si>
  <si>
    <t>L.M</t>
  </si>
  <si>
    <t>N.O</t>
  </si>
  <si>
    <t>P.Q</t>
  </si>
  <si>
    <t>R.S</t>
  </si>
  <si>
    <t>T.U</t>
  </si>
  <si>
    <t>V.W</t>
  </si>
  <si>
    <t>X.Y</t>
  </si>
  <si>
    <t>Z.B</t>
  </si>
  <si>
    <t>Z.C</t>
  </si>
  <si>
    <t>Z.D</t>
  </si>
  <si>
    <t>Z.E</t>
  </si>
  <si>
    <t>P001</t>
  </si>
  <si>
    <t>Female</t>
  </si>
  <si>
    <t>Yes</t>
  </si>
  <si>
    <t>Type 2</t>
  </si>
  <si>
    <t>No</t>
  </si>
  <si>
    <t/>
  </si>
  <si>
    <t>P002</t>
  </si>
  <si>
    <t>Male</t>
  </si>
  <si>
    <t>Not Applicable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</si>
  <si>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</si>
  <si>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</si>
  <si>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</si>
  <si>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</si>
  <si>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</si>
  <si>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</si>
  <si>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</si>
  <si>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</si>
  <si>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</si>
  <si>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</si>
  <si>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</si>
  <si>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</si>
  <si>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</si>
  <si>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</si>
  <si>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</si>
  <si>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</si>
  <si>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</si>
  <si>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</si>
  <si>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</si>
  <si>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</si>
  <si>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</si>
  <si>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</si>
  <si>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</si>
  <si>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</si>
  <si>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</si>
  <si>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</si>
  <si>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</si>
  <si>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</si>
  <si>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height_check</t>
  </si>
  <si>
    <t>weight_check</t>
  </si>
  <si>
    <t>sys_bp_check</t>
  </si>
  <si>
    <t>dia_bp_check</t>
  </si>
  <si>
    <t>heart_rate_check</t>
  </si>
  <si>
    <t>diabetes_logic_check</t>
  </si>
  <si>
    <t>missing_id_check</t>
  </si>
  <si>
    <t>missing_initials_check</t>
  </si>
  <si>
    <t>overall_status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</si>
</sst>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>
    <font>
      <sz val="11"/>
      <color theme="1"/>
      <name val="Calibri"/>
      <family val="2"/>
      <scheme val="minor"/>
    </font>
    <font>
      <sz val="11"/>
      <color rgb="FF1F1F1F"/>
      <name val="Google Sans Text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136F-FC16-4A82-8114-8F7D00A39687}">
  <dimension ref="A1:A10"/>
  <sheetViews>
    <sheetView workbookViewId="0">
      <selection activeCell="A14" sqref="A14"/>
    </sheetView>
  </sheetViews>
  <sheetFormatPr defaultRowHeight="15"/>
  <cols>
    <col min="1" max="1" width="48.140625" customWidth="1"/>
  </cols>
  <sheetData>
    <row r="1" spans="1:1" ht="30">
      <c r="A1" s="2" t="s">
        <v>0</v>
      </c>
    </row>
    <row r="2" spans="1:1">
      <c r="A2" s="3"/>
    </row>
    <row r="3" spans="1:1">
      <c r="A3" s="3" t="s">
        <v>1</v>
      </c>
    </row>
    <row r="4" spans="1:1" ht="45">
      <c r="A4" s="2" t="s">
        <v>2</v>
      </c>
    </row>
    <row r="5" spans="1:1">
      <c r="A5" s="3"/>
    </row>
    <row r="6" spans="1:1">
      <c r="A6" s="3" t="s">
        <v>3</v>
      </c>
    </row>
    <row r="7" spans="1:1" ht="60">
      <c r="A7" s="2" t="s">
        <v>4</v>
      </c>
    </row>
    <row r="8" spans="1:1">
      <c r="A8" s="3"/>
    </row>
    <row r="9" spans="1:1">
      <c r="A9" s="3" t="s">
        <v>5</v>
      </c>
    </row>
    <row r="10" spans="1:1" ht="150">
      <c r="A10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D31A-4A4E-44DE-B3FD-C12DC66CEFC1}">
  <dimension ref="A1:R23"/>
  <sheetViews>
    <sheetView topLeftCell="A10" workbookViewId="0">
      <selection activeCell="J11" sqref="J11"/>
    </sheetView>
  </sheetViews>
  <sheetFormatPr defaultRowHeight="15"/>
  <cols>
    <col min="1" max="1" width="17.5703125" customWidth="1"/>
    <col min="2" max="2" width="19.7109375" customWidth="1"/>
    <col min="3" max="3" width="19.140625" customWidth="1"/>
    <col min="4" max="4" width="12.5703125" customWidth="1"/>
    <col min="5" max="5" width="15" customWidth="1"/>
    <col min="6" max="6" width="21" customWidth="1"/>
    <col min="7" max="7" width="13" customWidth="1"/>
    <col min="8" max="8" width="13.85546875" customWidth="1"/>
    <col min="9" max="9" width="13.42578125" customWidth="1"/>
    <col min="10" max="10" width="13.28515625" customWidth="1"/>
    <col min="11" max="11" width="12.140625" customWidth="1"/>
    <col min="12" max="12" width="13.28515625" customWidth="1"/>
    <col min="13" max="13" width="12" customWidth="1"/>
    <col min="14" max="14" width="13.28515625" customWidth="1"/>
    <col min="15" max="15" width="14.7109375" customWidth="1"/>
    <col min="16" max="16" width="12.5703125" customWidth="1"/>
    <col min="17" max="17" width="10.7109375" customWidth="1"/>
    <col min="18" max="18" width="12.28515625" customWidth="1"/>
  </cols>
  <sheetData>
    <row r="1" spans="1:18" ht="72" thickBot="1">
      <c r="A1" s="4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</row>
    <row r="2" spans="1:18" ht="60">
      <c r="A2" s="7" t="s">
        <v>25</v>
      </c>
      <c r="B2" s="8" t="s">
        <v>26</v>
      </c>
      <c r="C2" s="8" t="s">
        <v>27</v>
      </c>
      <c r="D2" s="7" t="s">
        <v>28</v>
      </c>
      <c r="E2" s="8" t="s">
        <v>29</v>
      </c>
      <c r="F2" s="7"/>
      <c r="G2" s="8" t="s">
        <v>30</v>
      </c>
      <c r="H2" s="7"/>
      <c r="I2" s="7"/>
      <c r="J2" s="7"/>
      <c r="K2" s="7"/>
      <c r="L2" s="7"/>
      <c r="M2" s="7" t="s">
        <v>31</v>
      </c>
      <c r="N2" s="7"/>
      <c r="O2" s="7"/>
      <c r="P2" s="7"/>
      <c r="Q2" s="7"/>
      <c r="R2" s="7"/>
    </row>
    <row r="3" spans="1:18" ht="30">
      <c r="A3" s="7" t="s">
        <v>32</v>
      </c>
      <c r="B3" s="8" t="s">
        <v>26</v>
      </c>
      <c r="C3" s="7"/>
      <c r="D3" s="7" t="s">
        <v>28</v>
      </c>
      <c r="E3" s="8" t="s">
        <v>33</v>
      </c>
      <c r="F3" s="7"/>
      <c r="G3" s="8" t="s">
        <v>34</v>
      </c>
      <c r="H3" s="7"/>
      <c r="I3" s="7"/>
      <c r="J3" s="7"/>
      <c r="K3" s="7" t="s">
        <v>31</v>
      </c>
      <c r="L3" s="7"/>
      <c r="M3" s="7"/>
      <c r="N3" s="7"/>
      <c r="O3" s="7"/>
      <c r="P3" s="7"/>
      <c r="Q3" s="7"/>
      <c r="R3" s="7"/>
    </row>
    <row r="4" spans="1:18">
      <c r="A4" s="7" t="s">
        <v>35</v>
      </c>
      <c r="B4" s="8" t="s">
        <v>26</v>
      </c>
      <c r="C4" s="7"/>
      <c r="D4" s="7" t="s">
        <v>28</v>
      </c>
      <c r="E4" s="7" t="s">
        <v>36</v>
      </c>
      <c r="F4" s="7"/>
      <c r="G4" s="7"/>
      <c r="H4" s="8" t="s">
        <v>37</v>
      </c>
      <c r="I4" s="7"/>
      <c r="J4" s="7"/>
      <c r="K4" s="7" t="s">
        <v>31</v>
      </c>
      <c r="L4" s="7"/>
      <c r="M4" s="7"/>
      <c r="N4" s="7"/>
      <c r="O4" s="7"/>
      <c r="P4" s="7"/>
      <c r="Q4" s="7"/>
      <c r="R4" s="7"/>
    </row>
    <row r="5" spans="1:18" ht="45">
      <c r="A5" s="7" t="s">
        <v>38</v>
      </c>
      <c r="B5" s="8" t="s">
        <v>26</v>
      </c>
      <c r="C5" s="8" t="s">
        <v>39</v>
      </c>
      <c r="D5" s="7" t="s">
        <v>40</v>
      </c>
      <c r="E5" s="8" t="s">
        <v>41</v>
      </c>
      <c r="F5" s="8" t="s">
        <v>42</v>
      </c>
      <c r="G5" s="7"/>
      <c r="H5" s="7"/>
      <c r="I5" s="7"/>
      <c r="J5" s="7"/>
      <c r="K5" s="7"/>
      <c r="L5" s="7"/>
      <c r="M5" s="7" t="s">
        <v>31</v>
      </c>
      <c r="N5" s="7"/>
      <c r="O5" s="7"/>
      <c r="P5" s="7"/>
      <c r="Q5" s="7"/>
      <c r="R5" s="7"/>
    </row>
    <row r="6" spans="1:18" ht="45">
      <c r="A6" s="7" t="s">
        <v>43</v>
      </c>
      <c r="B6" s="8" t="s">
        <v>26</v>
      </c>
      <c r="C6" s="7"/>
      <c r="D6" s="8" t="s">
        <v>44</v>
      </c>
      <c r="E6" s="7" t="s">
        <v>45</v>
      </c>
      <c r="F6" s="8" t="s">
        <v>46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0">
      <c r="A7" s="7" t="s">
        <v>47</v>
      </c>
      <c r="B7" s="8" t="s">
        <v>48</v>
      </c>
      <c r="C7" s="8" t="s">
        <v>49</v>
      </c>
      <c r="D7" s="7" t="s">
        <v>28</v>
      </c>
      <c r="E7" s="8" t="s">
        <v>50</v>
      </c>
      <c r="F7" s="7"/>
      <c r="G7" s="8" t="s">
        <v>51</v>
      </c>
      <c r="H7" s="7" t="s">
        <v>52</v>
      </c>
      <c r="I7" s="7">
        <v>100</v>
      </c>
      <c r="J7" s="7">
        <v>250</v>
      </c>
      <c r="K7" s="7"/>
      <c r="L7" s="7"/>
      <c r="M7" s="7"/>
      <c r="N7" s="7"/>
      <c r="O7" s="7"/>
      <c r="P7" s="7"/>
      <c r="Q7" s="7"/>
      <c r="R7" s="7"/>
    </row>
    <row r="8" spans="1:18">
      <c r="A8" s="7" t="s">
        <v>53</v>
      </c>
      <c r="B8" s="8" t="s">
        <v>48</v>
      </c>
      <c r="C8" s="7"/>
      <c r="D8" s="7" t="s">
        <v>28</v>
      </c>
      <c r="E8" s="7" t="s">
        <v>54</v>
      </c>
      <c r="F8" s="7"/>
      <c r="G8" s="7" t="s">
        <v>55</v>
      </c>
      <c r="H8" s="7" t="s">
        <v>52</v>
      </c>
      <c r="I8" s="7">
        <v>30</v>
      </c>
      <c r="J8" s="7">
        <v>300</v>
      </c>
      <c r="K8" s="7"/>
      <c r="L8" s="7"/>
      <c r="M8" s="7"/>
      <c r="N8" s="7"/>
      <c r="O8" s="7"/>
      <c r="P8" s="7"/>
      <c r="Q8" s="7"/>
      <c r="R8" s="7"/>
    </row>
    <row r="9" spans="1:18" ht="30">
      <c r="A9" s="7" t="s">
        <v>56</v>
      </c>
      <c r="B9" s="8" t="s">
        <v>48</v>
      </c>
      <c r="C9" s="7" t="s">
        <v>57</v>
      </c>
      <c r="D9" s="7" t="s">
        <v>28</v>
      </c>
      <c r="E9" s="8" t="s">
        <v>58</v>
      </c>
      <c r="F9" s="7"/>
      <c r="G9" s="7" t="s">
        <v>59</v>
      </c>
      <c r="H9" s="7" t="s">
        <v>60</v>
      </c>
      <c r="I9" s="7">
        <v>105</v>
      </c>
      <c r="J9" s="7">
        <v>150</v>
      </c>
      <c r="K9" s="7"/>
      <c r="L9" s="7"/>
      <c r="M9" s="7"/>
      <c r="N9" s="7"/>
      <c r="O9" s="7"/>
      <c r="P9" s="7"/>
      <c r="Q9" s="7"/>
      <c r="R9" s="7"/>
    </row>
    <row r="10" spans="1:18" ht="30">
      <c r="A10" s="7" t="s">
        <v>61</v>
      </c>
      <c r="B10" s="8" t="s">
        <v>48</v>
      </c>
      <c r="C10" s="7" t="s">
        <v>57</v>
      </c>
      <c r="D10" s="7" t="s">
        <v>28</v>
      </c>
      <c r="E10" s="8" t="s">
        <v>62</v>
      </c>
      <c r="F10" s="7"/>
      <c r="G10" s="7" t="s">
        <v>59</v>
      </c>
      <c r="H10" s="7" t="s">
        <v>60</v>
      </c>
      <c r="I10" s="7">
        <v>65</v>
      </c>
      <c r="J10" s="7">
        <v>95</v>
      </c>
      <c r="K10" s="7"/>
      <c r="L10" s="7"/>
      <c r="M10" s="7"/>
      <c r="N10" s="7"/>
      <c r="O10" s="7"/>
      <c r="P10" s="7"/>
      <c r="Q10" s="7"/>
      <c r="R10" s="7"/>
    </row>
    <row r="11" spans="1:18" ht="45">
      <c r="A11" s="7" t="s">
        <v>63</v>
      </c>
      <c r="B11" s="8" t="s">
        <v>48</v>
      </c>
      <c r="C11" s="7"/>
      <c r="D11" s="7" t="s">
        <v>28</v>
      </c>
      <c r="E11" s="8" t="s">
        <v>64</v>
      </c>
      <c r="F11" s="7"/>
      <c r="G11" s="8" t="s">
        <v>65</v>
      </c>
      <c r="H11" s="7" t="s">
        <v>60</v>
      </c>
      <c r="I11" s="7">
        <v>58</v>
      </c>
      <c r="J11" s="7">
        <v>100</v>
      </c>
      <c r="K11" s="7"/>
      <c r="L11" s="7"/>
      <c r="M11" s="7"/>
      <c r="N11" s="7"/>
      <c r="O11" s="7"/>
      <c r="P11" s="7"/>
      <c r="Q11" s="7"/>
      <c r="R11" s="7"/>
    </row>
    <row r="12" spans="1:18" ht="45">
      <c r="A12" s="7" t="s">
        <v>66</v>
      </c>
      <c r="B12" s="8" t="s">
        <v>48</v>
      </c>
      <c r="C12" s="7"/>
      <c r="D12" s="7" t="s">
        <v>67</v>
      </c>
      <c r="E12" s="8" t="s">
        <v>68</v>
      </c>
      <c r="F12" s="8" t="s">
        <v>69</v>
      </c>
      <c r="G12" s="8" t="s">
        <v>70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45">
      <c r="A13" s="7" t="s">
        <v>71</v>
      </c>
      <c r="B13" s="8" t="s">
        <v>48</v>
      </c>
      <c r="C13" s="7"/>
      <c r="D13" s="7" t="s">
        <v>67</v>
      </c>
      <c r="E13" s="8" t="s">
        <v>72</v>
      </c>
      <c r="F13" s="8" t="s">
        <v>73</v>
      </c>
      <c r="G13" s="8" t="s">
        <v>74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75">
      <c r="A14" s="7" t="s">
        <v>75</v>
      </c>
      <c r="B14" s="8" t="s">
        <v>76</v>
      </c>
      <c r="C14" s="8" t="s">
        <v>77</v>
      </c>
      <c r="D14" s="7" t="s">
        <v>40</v>
      </c>
      <c r="E14" s="8" t="s">
        <v>78</v>
      </c>
      <c r="F14" s="8" t="s">
        <v>79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45">
      <c r="A15" s="7" t="s">
        <v>80</v>
      </c>
      <c r="B15" s="8" t="s">
        <v>76</v>
      </c>
      <c r="C15" s="7"/>
      <c r="D15" s="7" t="s">
        <v>44</v>
      </c>
      <c r="E15" s="8" t="s">
        <v>81</v>
      </c>
      <c r="F15" s="8" t="s">
        <v>82</v>
      </c>
      <c r="G15" s="7"/>
      <c r="H15" s="7"/>
      <c r="I15" s="7"/>
      <c r="J15" s="7"/>
      <c r="K15" s="7"/>
      <c r="L15" s="8" t="s">
        <v>83</v>
      </c>
      <c r="M15" s="7"/>
      <c r="N15" s="7"/>
      <c r="O15" s="7"/>
      <c r="P15" s="7"/>
      <c r="Q15" s="7"/>
      <c r="R15" s="7"/>
    </row>
    <row r="16" spans="1:18" ht="60">
      <c r="A16" s="7" t="s">
        <v>84</v>
      </c>
      <c r="B16" s="8" t="s">
        <v>76</v>
      </c>
      <c r="C16" s="8" t="s">
        <v>85</v>
      </c>
      <c r="D16" s="7" t="s">
        <v>40</v>
      </c>
      <c r="E16" s="8" t="s">
        <v>86</v>
      </c>
      <c r="F16" s="8" t="s">
        <v>87</v>
      </c>
      <c r="G16" s="7"/>
      <c r="H16" s="7"/>
      <c r="I16" s="7"/>
      <c r="J16" s="7"/>
      <c r="K16" s="7"/>
      <c r="L16" s="7" t="s">
        <v>88</v>
      </c>
      <c r="M16" s="7"/>
      <c r="N16" s="7"/>
      <c r="O16" s="7"/>
      <c r="P16" s="7"/>
      <c r="Q16" s="7"/>
      <c r="R16" s="7"/>
    </row>
    <row r="17" spans="1:18" ht="45">
      <c r="A17" s="7" t="s">
        <v>89</v>
      </c>
      <c r="B17" s="8" t="s">
        <v>76</v>
      </c>
      <c r="C17" s="7"/>
      <c r="D17" s="7" t="s">
        <v>28</v>
      </c>
      <c r="E17" s="8" t="s">
        <v>90</v>
      </c>
      <c r="F17" s="7"/>
      <c r="G17" s="7"/>
      <c r="H17" s="7" t="s">
        <v>37</v>
      </c>
      <c r="I17" s="7"/>
      <c r="J17" s="7"/>
      <c r="K17" s="7"/>
      <c r="L17" s="7" t="s">
        <v>91</v>
      </c>
      <c r="M17" s="7"/>
      <c r="N17" s="7"/>
      <c r="O17" s="7"/>
      <c r="P17" s="7"/>
      <c r="Q17" s="7"/>
      <c r="R17" s="7"/>
    </row>
    <row r="18" spans="1:18" ht="75">
      <c r="A18" s="7" t="s">
        <v>92</v>
      </c>
      <c r="B18" s="8" t="s">
        <v>93</v>
      </c>
      <c r="C18" s="8" t="s">
        <v>94</v>
      </c>
      <c r="D18" s="7" t="s">
        <v>40</v>
      </c>
      <c r="E18" s="8" t="s">
        <v>95</v>
      </c>
      <c r="F18" s="8" t="s">
        <v>96</v>
      </c>
      <c r="G18" s="7"/>
      <c r="H18" s="7"/>
      <c r="I18" s="7"/>
      <c r="J18" s="7"/>
      <c r="K18" s="7"/>
      <c r="L18" s="7"/>
      <c r="M18" s="7"/>
      <c r="N18" s="7"/>
      <c r="O18" s="7"/>
      <c r="P18" s="8" t="s">
        <v>97</v>
      </c>
      <c r="Q18" s="7"/>
      <c r="R18" s="7"/>
    </row>
    <row r="19" spans="1:18" ht="75">
      <c r="A19" s="7" t="s">
        <v>98</v>
      </c>
      <c r="B19" s="8" t="s">
        <v>93</v>
      </c>
      <c r="C19" s="7"/>
      <c r="D19" s="7" t="s">
        <v>40</v>
      </c>
      <c r="E19" s="8" t="s">
        <v>99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8" t="s">
        <v>97</v>
      </c>
      <c r="Q19" s="7"/>
      <c r="R19" s="7"/>
    </row>
    <row r="20" spans="1:18" ht="75">
      <c r="A20" s="7" t="s">
        <v>100</v>
      </c>
      <c r="B20" s="8" t="s">
        <v>93</v>
      </c>
      <c r="C20" s="7"/>
      <c r="D20" s="7" t="s">
        <v>40</v>
      </c>
      <c r="E20" s="8" t="s">
        <v>101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97</v>
      </c>
      <c r="Q20" s="7"/>
      <c r="R20" s="7"/>
    </row>
    <row r="21" spans="1:18" ht="90">
      <c r="A21" s="7" t="s">
        <v>102</v>
      </c>
      <c r="B21" s="8" t="s">
        <v>103</v>
      </c>
      <c r="C21" s="8" t="s">
        <v>104</v>
      </c>
      <c r="D21" s="7" t="s">
        <v>105</v>
      </c>
      <c r="E21" s="8" t="s">
        <v>106</v>
      </c>
      <c r="F21" s="8" t="s">
        <v>107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75">
      <c r="A22" s="7" t="s">
        <v>108</v>
      </c>
      <c r="B22" s="8" t="s">
        <v>109</v>
      </c>
      <c r="C22" s="8" t="s">
        <v>110</v>
      </c>
      <c r="D22" s="7" t="s">
        <v>111</v>
      </c>
      <c r="E22" s="8" t="s">
        <v>112</v>
      </c>
      <c r="F22" s="7"/>
      <c r="G22" s="8" t="s">
        <v>113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45">
      <c r="A23" s="7" t="s">
        <v>114</v>
      </c>
      <c r="B23" s="8" t="s">
        <v>109</v>
      </c>
      <c r="C23" s="7"/>
      <c r="D23" s="7" t="s">
        <v>28</v>
      </c>
      <c r="E23" s="8" t="s">
        <v>115</v>
      </c>
      <c r="F23" s="7"/>
      <c r="G23" s="7"/>
      <c r="H23" s="7" t="s">
        <v>37</v>
      </c>
      <c r="I23" s="7"/>
      <c r="J23" s="7"/>
      <c r="K23" s="7"/>
      <c r="L23" s="7"/>
      <c r="M23" s="7"/>
      <c r="N23" s="7"/>
      <c r="O23" s="7"/>
      <c r="P23" s="7"/>
      <c r="Q23" s="7"/>
      <c r="R23" s="7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5B14-D468-4197-AFDD-0611249C3EBF}">
  <dimension ref="A1:P33"/>
  <sheetViews>
    <sheetView tabSelected="1" topLeftCell="A10" workbookViewId="0">
      <selection activeCell="J1" sqref="J1"/>
    </sheetView>
  </sheetViews>
  <sheetFormatPr defaultRowHeight="15"/>
  <cols>
    <col min="1" max="1" width="13.7109375" customWidth="1"/>
    <col min="2" max="2" width="14.140625" customWidth="1"/>
    <col min="3" max="3" width="13.7109375" customWidth="1"/>
    <col min="5" max="5" width="13.28515625" customWidth="1"/>
    <col min="6" max="6" width="13" customWidth="1"/>
    <col min="9" max="9" width="9.140625" customWidth="1"/>
    <col min="10" max="10" width="13" customWidth="1"/>
    <col min="11" max="11" width="12.5703125" customWidth="1"/>
    <col min="12" max="12" width="13.5703125" customWidth="1"/>
    <col min="13" max="13" width="10.42578125" bestFit="1" customWidth="1"/>
    <col min="15" max="15" width="14.42578125" customWidth="1"/>
  </cols>
  <sheetData>
    <row r="1" spans="1:16" ht="37.5">
      <c r="A1" s="10" t="s">
        <v>117</v>
      </c>
      <c r="B1" s="10" t="s">
        <v>32</v>
      </c>
      <c r="C1" s="10" t="s">
        <v>35</v>
      </c>
      <c r="D1" s="10" t="s">
        <v>38</v>
      </c>
      <c r="E1" s="10" t="s">
        <v>47</v>
      </c>
      <c r="F1" s="10" t="s">
        <v>53</v>
      </c>
      <c r="G1" s="10" t="s">
        <v>56</v>
      </c>
      <c r="H1" s="10" t="s">
        <v>61</v>
      </c>
      <c r="I1" s="10" t="s">
        <v>63</v>
      </c>
      <c r="J1" s="10" t="s">
        <v>75</v>
      </c>
      <c r="K1" s="10" t="s">
        <v>80</v>
      </c>
      <c r="L1" s="10" t="s">
        <v>84</v>
      </c>
      <c r="M1" s="10" t="s">
        <v>89</v>
      </c>
      <c r="N1" s="10" t="s">
        <v>66</v>
      </c>
      <c r="O1" s="10" t="s">
        <v>118</v>
      </c>
      <c r="P1" s="9"/>
    </row>
    <row r="2" spans="1:16">
      <c r="A2" s="6" t="s">
        <v>156</v>
      </c>
      <c r="B2" s="6" t="s">
        <v>119</v>
      </c>
      <c r="C2" s="11">
        <v>36090</v>
      </c>
      <c r="D2" s="6" t="s">
        <v>157</v>
      </c>
      <c r="E2" s="6">
        <v>150</v>
      </c>
      <c r="F2" s="6">
        <v>73</v>
      </c>
      <c r="G2" s="6">
        <v>110</v>
      </c>
      <c r="H2" s="6">
        <v>79</v>
      </c>
      <c r="I2" s="6">
        <v>82</v>
      </c>
      <c r="J2" s="6" t="s">
        <v>160</v>
      </c>
      <c r="K2" s="6" t="s">
        <v>161</v>
      </c>
      <c r="L2" s="6" t="s">
        <v>160</v>
      </c>
      <c r="M2" s="13" t="s">
        <v>161</v>
      </c>
      <c r="N2">
        <v>32.4</v>
      </c>
      <c r="O2">
        <v>77</v>
      </c>
    </row>
    <row r="3" spans="1:16" ht="30">
      <c r="A3" s="6" t="s">
        <v>162</v>
      </c>
      <c r="B3" s="6" t="s">
        <v>120</v>
      </c>
      <c r="C3" s="11">
        <v>28817</v>
      </c>
      <c r="D3" s="6" t="s">
        <v>163</v>
      </c>
      <c r="E3" s="6">
        <v>171</v>
      </c>
      <c r="F3" s="6">
        <v>50</v>
      </c>
      <c r="G3" s="6">
        <v>140</v>
      </c>
      <c r="H3" s="6">
        <v>79</v>
      </c>
      <c r="I3" s="6">
        <v>59</v>
      </c>
      <c r="J3" s="6" t="s">
        <v>160</v>
      </c>
      <c r="K3" s="6" t="s">
        <v>161</v>
      </c>
      <c r="L3" s="6" t="s">
        <v>164</v>
      </c>
      <c r="M3" s="13" t="s">
        <v>161</v>
      </c>
      <c r="N3">
        <v>17.100000000000001</v>
      </c>
      <c r="O3">
        <v>99.3</v>
      </c>
    </row>
    <row r="4" spans="1:16">
      <c r="A4" s="6" t="s">
        <v>165</v>
      </c>
      <c r="B4" s="6" t="s">
        <v>121</v>
      </c>
      <c r="C4" s="11">
        <v>34624</v>
      </c>
      <c r="D4" s="6" t="s">
        <v>157</v>
      </c>
      <c r="E4" s="6">
        <v>174</v>
      </c>
      <c r="F4" s="6">
        <v>51</v>
      </c>
      <c r="G4" s="6">
        <v>150</v>
      </c>
      <c r="H4" s="6">
        <v>90</v>
      </c>
      <c r="I4" s="6">
        <v>100</v>
      </c>
      <c r="J4" s="6" t="s">
        <v>158</v>
      </c>
      <c r="K4" s="6" t="s">
        <v>159</v>
      </c>
      <c r="L4" s="6" t="s">
        <v>160</v>
      </c>
      <c r="M4" s="13" t="s">
        <v>161</v>
      </c>
      <c r="N4">
        <v>16.8</v>
      </c>
      <c r="O4">
        <v>152</v>
      </c>
    </row>
    <row r="5" spans="1:16" ht="30">
      <c r="A5" s="6" t="s">
        <v>166</v>
      </c>
      <c r="B5" s="6" t="s">
        <v>129</v>
      </c>
      <c r="C5" s="11">
        <v>34474</v>
      </c>
      <c r="D5" s="6" t="s">
        <v>163</v>
      </c>
      <c r="E5" s="6">
        <v>180</v>
      </c>
      <c r="F5" s="6">
        <v>65</v>
      </c>
      <c r="G5" s="6">
        <v>228</v>
      </c>
      <c r="H5" s="6">
        <v>101</v>
      </c>
      <c r="I5" s="6">
        <v>89</v>
      </c>
      <c r="J5" s="6" t="s">
        <v>158</v>
      </c>
      <c r="K5" s="6" t="s">
        <v>159</v>
      </c>
      <c r="L5" s="6" t="s">
        <v>164</v>
      </c>
      <c r="M5" s="13" t="s">
        <v>161</v>
      </c>
      <c r="N5">
        <v>20.100000000000001</v>
      </c>
      <c r="O5">
        <v>143.30000000000001</v>
      </c>
    </row>
    <row r="6" spans="1:16" ht="30">
      <c r="A6" s="6" t="s">
        <v>167</v>
      </c>
      <c r="B6" s="6" t="s">
        <v>130</v>
      </c>
      <c r="C6" s="11">
        <v>20719</v>
      </c>
      <c r="D6" s="6" t="s">
        <v>163</v>
      </c>
      <c r="E6" s="6">
        <v>186</v>
      </c>
      <c r="F6" s="6">
        <v>60</v>
      </c>
      <c r="G6" s="6">
        <v>150</v>
      </c>
      <c r="H6" s="6">
        <v>92</v>
      </c>
      <c r="I6" s="6">
        <v>63</v>
      </c>
      <c r="J6" s="6" t="s">
        <v>160</v>
      </c>
      <c r="K6" s="6" t="s">
        <v>161</v>
      </c>
      <c r="L6" s="6" t="s">
        <v>164</v>
      </c>
      <c r="M6" s="13" t="s">
        <v>161</v>
      </c>
      <c r="N6">
        <v>17.3</v>
      </c>
      <c r="O6">
        <v>118.7</v>
      </c>
    </row>
    <row r="7" spans="1:16" ht="30">
      <c r="A7" s="6" t="s">
        <v>168</v>
      </c>
      <c r="B7" s="6" t="s">
        <v>131</v>
      </c>
      <c r="C7" s="11">
        <v>33588</v>
      </c>
      <c r="D7" s="6" t="s">
        <v>163</v>
      </c>
      <c r="E7" s="6">
        <v>175</v>
      </c>
      <c r="F7" s="6">
        <v>65</v>
      </c>
      <c r="G7" s="6">
        <v>138</v>
      </c>
      <c r="H7" s="6">
        <v>88</v>
      </c>
      <c r="I7" s="6">
        <v>79</v>
      </c>
      <c r="J7" s="6" t="s">
        <v>160</v>
      </c>
      <c r="K7" s="6" t="s">
        <v>161</v>
      </c>
      <c r="L7" s="6" t="s">
        <v>164</v>
      </c>
      <c r="M7" s="13" t="s">
        <v>161</v>
      </c>
      <c r="N7">
        <v>21.2</v>
      </c>
      <c r="O7">
        <v>118.7</v>
      </c>
    </row>
    <row r="8" spans="1:16">
      <c r="A8" s="6" t="s">
        <v>169</v>
      </c>
      <c r="B8" s="6" t="s">
        <v>132</v>
      </c>
      <c r="C8" s="11">
        <v>23734</v>
      </c>
      <c r="D8" s="6" t="s">
        <v>157</v>
      </c>
      <c r="E8" s="6">
        <v>166</v>
      </c>
      <c r="F8" s="6">
        <v>78</v>
      </c>
      <c r="G8" s="6">
        <v>150</v>
      </c>
      <c r="H8" s="6">
        <v>75</v>
      </c>
      <c r="I8" s="6">
        <v>124</v>
      </c>
      <c r="J8" s="6" t="s">
        <v>160</v>
      </c>
      <c r="K8" s="6" t="s">
        <v>161</v>
      </c>
      <c r="L8" s="6" t="s">
        <v>160</v>
      </c>
      <c r="M8" s="13" t="s">
        <v>161</v>
      </c>
      <c r="N8">
        <v>28.3</v>
      </c>
      <c r="O8">
        <v>100</v>
      </c>
    </row>
    <row r="9" spans="1:16" ht="30">
      <c r="A9" s="6" t="s">
        <v>170</v>
      </c>
      <c r="B9" s="6" t="s">
        <v>133</v>
      </c>
      <c r="C9" s="11">
        <v>28008</v>
      </c>
      <c r="D9" s="6" t="s">
        <v>163</v>
      </c>
      <c r="E9" s="6">
        <v>166</v>
      </c>
      <c r="F9" s="6">
        <v>110</v>
      </c>
      <c r="G9" s="6">
        <v>100</v>
      </c>
      <c r="H9" s="6">
        <v>60</v>
      </c>
      <c r="I9" s="6">
        <v>90</v>
      </c>
      <c r="J9" s="6" t="s">
        <v>160</v>
      </c>
      <c r="K9" s="6" t="s">
        <v>161</v>
      </c>
      <c r="L9" s="6" t="s">
        <v>164</v>
      </c>
      <c r="M9" s="13" t="s">
        <v>161</v>
      </c>
      <c r="N9">
        <v>39.9</v>
      </c>
      <c r="O9">
        <v>135</v>
      </c>
    </row>
    <row r="10" spans="1:16" ht="30">
      <c r="A10" s="6" t="s">
        <v>171</v>
      </c>
      <c r="B10" s="6" t="s">
        <v>134</v>
      </c>
      <c r="C10" s="11">
        <v>29408</v>
      </c>
      <c r="D10" s="6" t="s">
        <v>163</v>
      </c>
      <c r="E10" s="6">
        <v>176</v>
      </c>
      <c r="F10" s="6">
        <v>107</v>
      </c>
      <c r="G10" s="6">
        <v>138</v>
      </c>
      <c r="H10" s="6">
        <v>90</v>
      </c>
      <c r="I10" s="6">
        <v>62</v>
      </c>
      <c r="J10" s="6" t="s">
        <v>158</v>
      </c>
      <c r="K10" s="6" t="s">
        <v>159</v>
      </c>
      <c r="L10" s="6" t="s">
        <v>164</v>
      </c>
      <c r="M10" s="13" t="s">
        <v>161</v>
      </c>
      <c r="N10">
        <v>34.5</v>
      </c>
      <c r="O10">
        <v>162.69999999999999</v>
      </c>
    </row>
    <row r="11" spans="1:16" ht="30">
      <c r="A11" s="6" t="s">
        <v>172</v>
      </c>
      <c r="B11" s="6" t="s">
        <v>135</v>
      </c>
      <c r="C11" s="11">
        <v>24506</v>
      </c>
      <c r="D11" s="6" t="s">
        <v>163</v>
      </c>
      <c r="E11" s="6">
        <v>168</v>
      </c>
      <c r="F11" s="6">
        <v>79</v>
      </c>
      <c r="G11" s="6">
        <v>150</v>
      </c>
      <c r="H11" s="6">
        <v>90</v>
      </c>
      <c r="I11" s="6">
        <v>70</v>
      </c>
      <c r="J11" s="6" t="s">
        <v>160</v>
      </c>
      <c r="K11" s="6" t="s">
        <v>161</v>
      </c>
      <c r="L11" s="6" t="s">
        <v>164</v>
      </c>
      <c r="M11" s="13" t="s">
        <v>161</v>
      </c>
      <c r="N11">
        <v>28</v>
      </c>
      <c r="O11">
        <v>150</v>
      </c>
    </row>
    <row r="12" spans="1:16">
      <c r="A12" s="6" t="s">
        <v>173</v>
      </c>
      <c r="B12" s="6" t="s">
        <v>136</v>
      </c>
      <c r="C12" s="11">
        <v>34432</v>
      </c>
      <c r="D12" s="6" t="s">
        <v>157</v>
      </c>
      <c r="E12" s="6">
        <v>157</v>
      </c>
      <c r="F12" s="6">
        <v>110</v>
      </c>
      <c r="G12" s="6">
        <v>185</v>
      </c>
      <c r="H12" s="6">
        <v>100</v>
      </c>
      <c r="I12" s="6">
        <v>98</v>
      </c>
      <c r="J12" s="6" t="s">
        <v>160</v>
      </c>
      <c r="K12" s="6" t="s">
        <v>161</v>
      </c>
      <c r="L12" s="6" t="s">
        <v>160</v>
      </c>
      <c r="M12" s="13" t="s">
        <v>161</v>
      </c>
      <c r="N12">
        <v>44.6</v>
      </c>
      <c r="O12">
        <v>168.3</v>
      </c>
    </row>
    <row r="13" spans="1:16" ht="30">
      <c r="A13" s="6" t="s">
        <v>174</v>
      </c>
      <c r="B13" s="6" t="s">
        <v>137</v>
      </c>
      <c r="C13" s="11">
        <v>23635</v>
      </c>
      <c r="D13" s="6" t="s">
        <v>163</v>
      </c>
      <c r="E13" s="6">
        <v>190</v>
      </c>
      <c r="F13" s="6">
        <v>100</v>
      </c>
      <c r="G13" s="6">
        <v>130</v>
      </c>
      <c r="H13" s="6">
        <v>80</v>
      </c>
      <c r="I13" s="6">
        <v>70</v>
      </c>
      <c r="J13" s="6" t="s">
        <v>160</v>
      </c>
      <c r="K13" s="6" t="s">
        <v>161</v>
      </c>
      <c r="L13" s="6" t="s">
        <v>164</v>
      </c>
      <c r="M13" s="13" t="s">
        <v>161</v>
      </c>
      <c r="N13">
        <v>27.7</v>
      </c>
      <c r="O13">
        <v>191</v>
      </c>
    </row>
    <row r="14" spans="1:16">
      <c r="A14" s="6" t="s">
        <v>175</v>
      </c>
      <c r="B14" s="6" t="s">
        <v>138</v>
      </c>
      <c r="C14" s="11">
        <v>28293</v>
      </c>
      <c r="D14" s="6" t="s">
        <v>157</v>
      </c>
      <c r="E14" s="6">
        <v>151</v>
      </c>
      <c r="F14" s="6">
        <v>82</v>
      </c>
      <c r="G14" s="6">
        <v>150</v>
      </c>
      <c r="H14" s="6">
        <v>88</v>
      </c>
      <c r="I14" s="6">
        <v>69</v>
      </c>
      <c r="J14" s="6" t="s">
        <v>158</v>
      </c>
      <c r="K14" s="6" t="s">
        <v>159</v>
      </c>
      <c r="L14" s="6" t="s">
        <v>160</v>
      </c>
      <c r="M14" s="13" t="s">
        <v>161</v>
      </c>
      <c r="N14">
        <v>36</v>
      </c>
      <c r="O14">
        <v>97.7</v>
      </c>
    </row>
    <row r="15" spans="1:16">
      <c r="A15" s="6" t="s">
        <v>176</v>
      </c>
      <c r="B15" s="6" t="s">
        <v>139</v>
      </c>
      <c r="C15" s="11">
        <v>26534</v>
      </c>
      <c r="D15" s="6" t="s">
        <v>157</v>
      </c>
      <c r="E15" s="6">
        <v>166</v>
      </c>
      <c r="F15" s="6">
        <v>83</v>
      </c>
      <c r="G15" s="6">
        <v>246</v>
      </c>
      <c r="H15" s="6">
        <v>100</v>
      </c>
      <c r="I15" s="6">
        <v>133</v>
      </c>
      <c r="J15" s="6" t="s">
        <v>160</v>
      </c>
      <c r="K15" s="6" t="s">
        <v>161</v>
      </c>
      <c r="L15" s="6" t="s">
        <v>160</v>
      </c>
      <c r="M15" s="13" t="s">
        <v>161</v>
      </c>
      <c r="N15">
        <v>30.1</v>
      </c>
      <c r="O15">
        <v>146.69999999999999</v>
      </c>
    </row>
    <row r="16" spans="1:16">
      <c r="A16" s="6" t="s">
        <v>177</v>
      </c>
      <c r="B16" s="6" t="s">
        <v>140</v>
      </c>
      <c r="C16" s="11">
        <v>35902</v>
      </c>
      <c r="D16" s="6" t="s">
        <v>157</v>
      </c>
      <c r="E16" s="6">
        <v>169</v>
      </c>
      <c r="F16" s="6">
        <v>55</v>
      </c>
      <c r="G16" s="6">
        <v>110</v>
      </c>
      <c r="H16" s="6">
        <v>70</v>
      </c>
      <c r="I16" s="6">
        <v>82</v>
      </c>
      <c r="J16" s="6" t="s">
        <v>160</v>
      </c>
      <c r="K16" s="6" t="s">
        <v>161</v>
      </c>
      <c r="L16" s="6" t="s">
        <v>160</v>
      </c>
      <c r="M16" s="13" t="s">
        <v>161</v>
      </c>
      <c r="N16">
        <v>19.3</v>
      </c>
      <c r="O16">
        <v>101</v>
      </c>
    </row>
    <row r="17" spans="1:15">
      <c r="A17" s="6" t="s">
        <v>178</v>
      </c>
      <c r="B17" s="6" t="s">
        <v>141</v>
      </c>
      <c r="C17" s="11">
        <v>37915</v>
      </c>
      <c r="D17" s="6" t="s">
        <v>157</v>
      </c>
      <c r="E17" s="6">
        <v>172</v>
      </c>
      <c r="F17" s="6">
        <v>88</v>
      </c>
      <c r="G17" s="6">
        <v>150</v>
      </c>
      <c r="H17" s="6">
        <v>90</v>
      </c>
      <c r="I17" s="6">
        <v>89</v>
      </c>
      <c r="J17" s="6" t="s">
        <v>158</v>
      </c>
      <c r="K17" s="6" t="s">
        <v>159</v>
      </c>
      <c r="L17" s="6" t="s">
        <v>160</v>
      </c>
      <c r="M17" s="13" t="s">
        <v>161</v>
      </c>
      <c r="N17">
        <v>29.7</v>
      </c>
      <c r="O17">
        <v>101</v>
      </c>
    </row>
    <row r="18" spans="1:15">
      <c r="A18" s="6" t="s">
        <v>179</v>
      </c>
      <c r="B18" s="6" t="s">
        <v>142</v>
      </c>
      <c r="C18" s="11">
        <v>34599</v>
      </c>
      <c r="D18" s="6" t="s">
        <v>157</v>
      </c>
      <c r="E18" s="6">
        <v>171</v>
      </c>
      <c r="F18" s="6">
        <v>87</v>
      </c>
      <c r="G18" s="6">
        <v>140</v>
      </c>
      <c r="H18" s="6">
        <v>88</v>
      </c>
      <c r="I18" s="6">
        <v>95</v>
      </c>
      <c r="J18" s="6" t="s">
        <v>160</v>
      </c>
      <c r="K18" s="6" t="s">
        <v>161</v>
      </c>
      <c r="L18" s="6" t="s">
        <v>160</v>
      </c>
      <c r="M18" s="13" t="s">
        <v>161</v>
      </c>
      <c r="N18">
        <v>29.8</v>
      </c>
      <c r="O18">
        <v>112</v>
      </c>
    </row>
    <row r="19" spans="1:15">
      <c r="A19" s="6" t="s">
        <v>180</v>
      </c>
      <c r="B19" s="6" t="s">
        <v>143</v>
      </c>
      <c r="C19" s="11">
        <v>23350</v>
      </c>
      <c r="D19" s="6" t="s">
        <v>157</v>
      </c>
      <c r="E19" s="6">
        <v>167</v>
      </c>
      <c r="F19" s="6">
        <v>58</v>
      </c>
      <c r="G19" s="6">
        <v>150</v>
      </c>
      <c r="H19" s="6">
        <v>90</v>
      </c>
      <c r="I19" s="6">
        <v>87</v>
      </c>
      <c r="J19" s="6" t="s">
        <v>160</v>
      </c>
      <c r="K19" s="6" t="s">
        <v>161</v>
      </c>
      <c r="L19" s="6" t="s">
        <v>158</v>
      </c>
      <c r="M19" s="13">
        <v>46266</v>
      </c>
      <c r="N19">
        <v>20.8</v>
      </c>
      <c r="O19">
        <v>105.7</v>
      </c>
    </row>
    <row r="20" spans="1:15">
      <c r="A20" s="6" t="s">
        <v>181</v>
      </c>
      <c r="B20" s="6" t="s">
        <v>144</v>
      </c>
      <c r="C20" s="11">
        <v>35602</v>
      </c>
      <c r="D20" s="6" t="s">
        <v>157</v>
      </c>
      <c r="E20" s="6">
        <v>150</v>
      </c>
      <c r="F20" s="6">
        <v>84</v>
      </c>
      <c r="G20" s="6">
        <v>132</v>
      </c>
      <c r="H20" s="6">
        <v>81</v>
      </c>
      <c r="I20" s="6">
        <v>80</v>
      </c>
      <c r="J20" s="6" t="s">
        <v>160</v>
      </c>
      <c r="K20" s="6" t="s">
        <v>161</v>
      </c>
      <c r="L20" s="6" t="s">
        <v>160</v>
      </c>
      <c r="M20" s="13" t="s">
        <v>161</v>
      </c>
      <c r="N20">
        <v>37.299999999999997</v>
      </c>
      <c r="O20">
        <v>98</v>
      </c>
    </row>
    <row r="21" spans="1:15">
      <c r="A21" s="6" t="s">
        <v>182</v>
      </c>
      <c r="B21" s="6" t="s">
        <v>145</v>
      </c>
      <c r="C21" s="11">
        <v>21655</v>
      </c>
      <c r="D21" s="6" t="s">
        <v>157</v>
      </c>
      <c r="E21" s="6">
        <v>151</v>
      </c>
      <c r="F21" s="6">
        <v>107</v>
      </c>
      <c r="G21" s="6">
        <v>200</v>
      </c>
      <c r="H21" s="6">
        <v>100</v>
      </c>
      <c r="I21" s="6">
        <v>100</v>
      </c>
      <c r="J21" s="6" t="s">
        <v>160</v>
      </c>
      <c r="K21" s="6" t="s">
        <v>161</v>
      </c>
      <c r="L21" s="6" t="s">
        <v>160</v>
      </c>
      <c r="M21" s="13" t="s">
        <v>161</v>
      </c>
      <c r="N21">
        <v>46.9</v>
      </c>
      <c r="O21">
        <v>163.30000000000001</v>
      </c>
    </row>
    <row r="22" spans="1:15">
      <c r="A22" s="6" t="s">
        <v>183</v>
      </c>
      <c r="B22" s="6" t="s">
        <v>146</v>
      </c>
      <c r="C22" s="11">
        <v>32654</v>
      </c>
      <c r="D22" s="6" t="s">
        <v>157</v>
      </c>
      <c r="E22" s="6">
        <v>170</v>
      </c>
      <c r="F22" s="6">
        <v>92</v>
      </c>
      <c r="G22" s="6">
        <v>133</v>
      </c>
      <c r="H22" s="6">
        <v>86</v>
      </c>
      <c r="I22" s="6">
        <v>67</v>
      </c>
      <c r="J22" s="6" t="s">
        <v>160</v>
      </c>
      <c r="K22" s="6" t="s">
        <v>161</v>
      </c>
      <c r="L22" s="6" t="s">
        <v>160</v>
      </c>
      <c r="M22" s="13" t="s">
        <v>161</v>
      </c>
      <c r="N22">
        <v>31.8</v>
      </c>
      <c r="O22">
        <v>86.3</v>
      </c>
    </row>
    <row r="23" spans="1:15" ht="30">
      <c r="A23" s="6" t="s">
        <v>184</v>
      </c>
      <c r="B23" s="6" t="s">
        <v>147</v>
      </c>
      <c r="C23" s="11">
        <v>27517</v>
      </c>
      <c r="D23" s="6" t="s">
        <v>163</v>
      </c>
      <c r="E23" s="6">
        <v>181</v>
      </c>
      <c r="F23" s="6">
        <v>65</v>
      </c>
      <c r="G23" s="6">
        <v>112</v>
      </c>
      <c r="H23" s="6">
        <v>78</v>
      </c>
      <c r="I23" s="6">
        <v>88</v>
      </c>
      <c r="J23" s="6" t="s">
        <v>158</v>
      </c>
      <c r="K23" s="6" t="s">
        <v>159</v>
      </c>
      <c r="L23" s="6" t="s">
        <v>164</v>
      </c>
      <c r="M23" s="13" t="s">
        <v>161</v>
      </c>
      <c r="N23">
        <v>19.8</v>
      </c>
      <c r="O23">
        <v>102.7</v>
      </c>
    </row>
    <row r="24" spans="1:15" ht="30">
      <c r="A24" s="6" t="s">
        <v>185</v>
      </c>
      <c r="B24" s="6" t="s">
        <v>148</v>
      </c>
      <c r="C24" s="11">
        <v>26010</v>
      </c>
      <c r="D24" s="6" t="s">
        <v>163</v>
      </c>
      <c r="E24" s="6">
        <v>189</v>
      </c>
      <c r="F24" s="6">
        <v>88</v>
      </c>
      <c r="G24" s="6">
        <v>120</v>
      </c>
      <c r="H24" s="6">
        <v>84</v>
      </c>
      <c r="I24" s="6">
        <v>81</v>
      </c>
      <c r="J24" s="6" t="s">
        <v>160</v>
      </c>
      <c r="K24" s="6" t="s">
        <v>161</v>
      </c>
      <c r="L24" s="6" t="s">
        <v>164</v>
      </c>
      <c r="M24" s="13" t="s">
        <v>161</v>
      </c>
      <c r="N24">
        <v>24.6</v>
      </c>
      <c r="O24">
        <v>161.69999999999999</v>
      </c>
    </row>
    <row r="25" spans="1:15">
      <c r="A25" s="6" t="s">
        <v>186</v>
      </c>
      <c r="B25" s="6" t="s">
        <v>149</v>
      </c>
      <c r="C25" s="11">
        <v>36008</v>
      </c>
      <c r="D25" s="6" t="s">
        <v>157</v>
      </c>
      <c r="E25" s="6">
        <v>151</v>
      </c>
      <c r="F25" s="6">
        <v>107</v>
      </c>
      <c r="G25" s="6">
        <v>136</v>
      </c>
      <c r="H25" s="6">
        <v>85</v>
      </c>
      <c r="I25" s="6">
        <v>75</v>
      </c>
      <c r="J25" s="6" t="s">
        <v>160</v>
      </c>
      <c r="K25" s="6" t="s">
        <v>161</v>
      </c>
      <c r="L25" s="6" t="s">
        <v>160</v>
      </c>
      <c r="M25" s="13" t="s">
        <v>161</v>
      </c>
      <c r="N25">
        <v>46.9</v>
      </c>
      <c r="O25">
        <v>158.69999999999999</v>
      </c>
    </row>
    <row r="26" spans="1:15">
      <c r="A26" s="6" t="s">
        <v>187</v>
      </c>
      <c r="B26" s="6" t="s">
        <v>150</v>
      </c>
      <c r="C26" s="11">
        <v>37044</v>
      </c>
      <c r="D26" s="6" t="s">
        <v>157</v>
      </c>
      <c r="E26" s="6">
        <v>165</v>
      </c>
      <c r="F26" s="6">
        <v>101</v>
      </c>
      <c r="G26" s="6">
        <v>140</v>
      </c>
      <c r="H26" s="6">
        <v>80</v>
      </c>
      <c r="I26" s="6">
        <v>82</v>
      </c>
      <c r="J26" s="6" t="s">
        <v>158</v>
      </c>
      <c r="K26" s="6" t="s">
        <v>159</v>
      </c>
      <c r="L26" s="6" t="s">
        <v>158</v>
      </c>
      <c r="M26" s="13">
        <v>46338</v>
      </c>
      <c r="N26">
        <v>37.1</v>
      </c>
      <c r="O26">
        <v>106</v>
      </c>
    </row>
    <row r="27" spans="1:15">
      <c r="A27" s="6" t="s">
        <v>188</v>
      </c>
      <c r="B27" s="6" t="s">
        <v>151</v>
      </c>
      <c r="C27" s="11">
        <v>23654</v>
      </c>
      <c r="D27" s="6" t="s">
        <v>157</v>
      </c>
      <c r="E27" s="6">
        <v>168</v>
      </c>
      <c r="F27" s="6">
        <v>93</v>
      </c>
      <c r="G27" s="6">
        <v>130</v>
      </c>
      <c r="H27" s="6">
        <v>70</v>
      </c>
      <c r="I27" s="6">
        <v>90</v>
      </c>
      <c r="J27" s="6" t="s">
        <v>160</v>
      </c>
      <c r="K27" s="6" t="s">
        <v>161</v>
      </c>
      <c r="L27" s="6" t="s">
        <v>160</v>
      </c>
      <c r="M27" s="13" t="s">
        <v>161</v>
      </c>
      <c r="N27">
        <v>33</v>
      </c>
      <c r="O27">
        <v>144</v>
      </c>
    </row>
    <row r="28" spans="1:15">
      <c r="A28" s="6" t="s">
        <v>189</v>
      </c>
      <c r="B28" s="6" t="s">
        <v>152</v>
      </c>
      <c r="C28" s="11">
        <v>35042</v>
      </c>
      <c r="D28" s="6" t="s">
        <v>157</v>
      </c>
      <c r="E28" s="6">
        <v>170</v>
      </c>
      <c r="F28" s="6">
        <v>52</v>
      </c>
      <c r="G28" s="6">
        <v>142</v>
      </c>
      <c r="H28" s="6">
        <v>91</v>
      </c>
      <c r="I28" s="6">
        <v>69</v>
      </c>
      <c r="J28" s="6" t="s">
        <v>160</v>
      </c>
      <c r="K28" s="6" t="s">
        <v>161</v>
      </c>
      <c r="L28" s="6" t="s">
        <v>160</v>
      </c>
      <c r="M28" s="13" t="s">
        <v>161</v>
      </c>
      <c r="N28">
        <v>18</v>
      </c>
      <c r="O28">
        <v>177.7</v>
      </c>
    </row>
    <row r="29" spans="1:15" ht="30">
      <c r="A29" s="6" t="s">
        <v>190</v>
      </c>
      <c r="B29" s="6" t="s">
        <v>153</v>
      </c>
      <c r="C29" s="11">
        <v>28684</v>
      </c>
      <c r="D29" s="6" t="s">
        <v>163</v>
      </c>
      <c r="E29" s="6">
        <v>174</v>
      </c>
      <c r="F29" s="6">
        <v>55</v>
      </c>
      <c r="G29" s="6">
        <v>107</v>
      </c>
      <c r="H29" s="6">
        <v>66</v>
      </c>
      <c r="I29" s="6">
        <v>74</v>
      </c>
      <c r="J29" s="6" t="s">
        <v>158</v>
      </c>
      <c r="K29" s="6" t="s">
        <v>159</v>
      </c>
      <c r="L29" s="6" t="s">
        <v>164</v>
      </c>
      <c r="M29" s="13" t="s">
        <v>161</v>
      </c>
      <c r="N29">
        <v>18.2</v>
      </c>
      <c r="O29">
        <v>114.3</v>
      </c>
    </row>
    <row r="30" spans="1:15" ht="30">
      <c r="A30" s="6" t="s">
        <v>191</v>
      </c>
      <c r="B30" s="6" t="s">
        <v>154</v>
      </c>
      <c r="C30" s="11">
        <v>36027</v>
      </c>
      <c r="D30" s="6" t="s">
        <v>163</v>
      </c>
      <c r="E30" s="6">
        <v>168</v>
      </c>
      <c r="F30" s="6">
        <v>91</v>
      </c>
      <c r="G30" s="6">
        <v>106</v>
      </c>
      <c r="H30" s="6">
        <v>66</v>
      </c>
      <c r="I30" s="6">
        <v>71</v>
      </c>
      <c r="J30" s="6" t="s">
        <v>160</v>
      </c>
      <c r="K30" s="6" t="s">
        <v>161</v>
      </c>
      <c r="L30" s="6" t="s">
        <v>164</v>
      </c>
      <c r="M30" s="13" t="s">
        <v>161</v>
      </c>
      <c r="N30">
        <v>32.200000000000003</v>
      </c>
      <c r="O30">
        <v>118.7</v>
      </c>
    </row>
    <row r="31" spans="1:15" ht="30">
      <c r="A31" s="6" t="s">
        <v>192</v>
      </c>
      <c r="B31" s="6" t="s">
        <v>155</v>
      </c>
      <c r="C31" s="11">
        <v>33569</v>
      </c>
      <c r="D31" s="6" t="s">
        <v>163</v>
      </c>
      <c r="E31" s="6">
        <v>177</v>
      </c>
      <c r="F31" s="6">
        <v>59</v>
      </c>
      <c r="G31" s="6">
        <v>138</v>
      </c>
      <c r="H31" s="6">
        <v>86</v>
      </c>
      <c r="I31" s="6">
        <v>98</v>
      </c>
      <c r="J31" s="6" t="s">
        <v>160</v>
      </c>
      <c r="K31" s="6" t="s">
        <v>161</v>
      </c>
      <c r="L31" s="6" t="s">
        <v>164</v>
      </c>
      <c r="M31" s="13" t="s">
        <v>161</v>
      </c>
      <c r="N31">
        <v>18.8</v>
      </c>
      <c r="O31">
        <v>193.3</v>
      </c>
    </row>
    <row r="32" spans="1:15">
      <c r="M32" s="6" t="str">
        <f t="shared" ref="M32:M33" ca="1" si="0">IF(L32="Yes",DATE(2006,RANDBETWEEN(8,12),RANDBETWEEN(1,28)),"")</f>
        <v/>
      </c>
    </row>
    <row r="33" spans="13:13">
      <c r="M33" s="6" t="str">
        <f t="shared" ca="1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ED8D-D28B-4910-A769-870E6A24FD4C}">
  <dimension ref="A1:J32"/>
  <sheetViews>
    <sheetView topLeftCell="A13" workbookViewId="0">
      <selection activeCell="P20" sqref="P20"/>
    </sheetView>
  </sheetViews>
  <sheetFormatPr defaultRowHeight="15"/>
  <cols>
    <col min="1" max="1" width="10.85546875" customWidth="1"/>
    <col min="2" max="2" width="17.28515625" customWidth="1"/>
    <col min="3" max="3" width="17.7109375" customWidth="1"/>
    <col min="4" max="4" width="22.7109375" customWidth="1"/>
    <col min="5" max="5" width="20.140625" customWidth="1"/>
    <col min="6" max="6" width="14.85546875" customWidth="1"/>
    <col min="7" max="7" width="18.7109375" customWidth="1"/>
    <col min="8" max="8" width="14.85546875" customWidth="1"/>
    <col min="9" max="9" width="17.85546875" customWidth="1"/>
    <col min="10" max="10" width="19.28515625" customWidth="1"/>
  </cols>
  <sheetData>
    <row r="1" spans="1:10" ht="75">
      <c r="A1" s="10" t="s">
        <v>25</v>
      </c>
      <c r="B1" s="10" t="s">
        <v>193</v>
      </c>
      <c r="C1" s="10" t="s">
        <v>194</v>
      </c>
      <c r="D1" s="10" t="s">
        <v>195</v>
      </c>
      <c r="E1" s="10" t="s">
        <v>196</v>
      </c>
      <c r="F1" s="10" t="s">
        <v>197</v>
      </c>
      <c r="G1" s="10" t="s">
        <v>198</v>
      </c>
      <c r="H1" s="10" t="s">
        <v>199</v>
      </c>
      <c r="I1" s="10" t="s">
        <v>200</v>
      </c>
      <c r="J1" s="10" t="s">
        <v>201</v>
      </c>
    </row>
    <row r="2" spans="1:10">
      <c r="A2" t="str">
        <f>Enrollment_Log!A2</f>
        <v>P001</v>
      </c>
      <c r="B2" t="str">
        <f>IF(OR(Enrollment_Log!E2&lt;100,Enrollment_Log!E2&gt;250),"OUT OF RANGE","OK")</f>
        <v>OK</v>
      </c>
      <c r="C2" t="str">
        <f>IF(OR(Enrollment_Log!F2&lt;30,Enrollment_Log!F2&gt;300),"OUT OF RANGE","OK")</f>
        <v>OK</v>
      </c>
      <c r="D2" s="1" t="str">
        <f>IF(OR(Enrollment_Log!G2&lt;105,Enrollment_Log!G2&gt;150),"OUTSIDE EXPECTED RANGE","OK")</f>
        <v>OK</v>
      </c>
      <c r="E2" s="1" t="str">
        <f>IF(OR(Enrollment_Log!H2&lt;65,Enrollment_Log!H2&gt;95),"OUTSIDE EXPECTED RANGE","OK")</f>
        <v>OK</v>
      </c>
      <c r="F2" s="1" t="str">
        <f>IF(OR(Enrollment_Log!I2&lt;58,Enrollment_Log!I2&gt;100),"OUTSIDE EXPECTED RANGE","OK")</f>
        <v>OK</v>
      </c>
      <c r="G2" t="str">
        <f>IF(AND(Enrollment_Log!J2&lt;&gt;"Yes",Enrollment_Log!K2&lt;&gt;""),"LOGIC  ERROR","OK")</f>
        <v>OK</v>
      </c>
      <c r="H2" t="str">
        <f>IF(Enrollment_Log!A2="","MISSING","OK")</f>
        <v>OK</v>
      </c>
      <c r="I2" t="str">
        <f>IF(Enrollment_Log!B2="","MISSING","OK")</f>
        <v>OK</v>
      </c>
      <c r="J2" s="1" t="str">
        <f>IF(COUNTIF(B2:I2,"OK")=8,"OK","REVIEW NEEDED")</f>
        <v>OK</v>
      </c>
    </row>
    <row r="3" spans="1:10">
      <c r="A3" t="str">
        <f>Enrollment_Log!A3</f>
        <v>P002</v>
      </c>
      <c r="B3" t="str">
        <f>IF(OR(Enrollment_Log!E3&lt;100,Enrollment_Log!E3&gt;250),"OUT OF RANGE","OK")</f>
        <v>OK</v>
      </c>
      <c r="C3" t="str">
        <f>IF(OR(Enrollment_Log!F3&lt;30,Enrollment_Log!F3&gt;300),"OUT OF RANGE","OK")</f>
        <v>OK</v>
      </c>
      <c r="D3" s="1" t="str">
        <f>IF(OR(Enrollment_Log!G3&lt;105,Enrollment_Log!G3&gt;150),"OUTSIDE EXPECTED RANGE","OK")</f>
        <v>OK</v>
      </c>
      <c r="E3" s="1" t="str">
        <f>IF(OR(Enrollment_Log!H3&lt;65,Enrollment_Log!H3&gt;95),"OUTSIDE EXPECTED RANGE","OK")</f>
        <v>OK</v>
      </c>
      <c r="F3" s="1" t="str">
        <f>IF(OR(Enrollment_Log!I3&lt;58,Enrollment_Log!I3&gt;100),"OUTSIDE EXPECTED RANGE","OK")</f>
        <v>OK</v>
      </c>
      <c r="G3" t="str">
        <f>IF(AND(Enrollment_Log!J3&lt;&gt;"Yes",Enrollment_Log!K3&lt;&gt;""),"LOGIC  ERROR","OK")</f>
        <v>OK</v>
      </c>
      <c r="H3" t="str">
        <f>IF(Enrollment_Log!A3="","MISSING","OK")</f>
        <v>OK</v>
      </c>
      <c r="I3" t="str">
        <f>IF(Enrollment_Log!B3="","MISSING","OK")</f>
        <v>OK</v>
      </c>
      <c r="J3" s="1" t="str">
        <f t="shared" ref="J3:J31" si="0">IF(COUNTIF(B3:I3,"OK")=8,"OK","REVIEW NEEDED")</f>
        <v>OK</v>
      </c>
    </row>
    <row r="4" spans="1:10" ht="30">
      <c r="A4" t="str">
        <f>Enrollment_Log!A4</f>
        <v>P003</v>
      </c>
      <c r="B4" t="str">
        <f>IF(OR(Enrollment_Log!E4&lt;100,Enrollment_Log!E4&gt;250),"OUT OF RANGE","OK")</f>
        <v>OK</v>
      </c>
      <c r="C4" t="str">
        <f>IF(OR(Enrollment_Log!F4&lt;30,Enrollment_Log!F4&gt;300),"OUT OF RANGE","OK")</f>
        <v>OK</v>
      </c>
      <c r="D4" s="1" t="str">
        <f>IF(OR(Enrollment_Log!G4&lt;105,Enrollment_Log!G4&gt;150),"OUTSIDE EXPECTED RANGE","OK")</f>
        <v>OK</v>
      </c>
      <c r="E4" s="1" t="str">
        <f>IF(OR(Enrollment_Log!H4&lt;65,Enrollment_Log!H4&gt;95),"OUTSIDE EXPECTED RANGE","OK")</f>
        <v>OK</v>
      </c>
      <c r="F4" s="1" t="str">
        <f>IF(OR(Enrollment_Log!I4&lt;58,Enrollment_Log!I4&gt;100),"OUTSIDE EXPECTED RANGE","OK")</f>
        <v>OK</v>
      </c>
      <c r="G4" t="str">
        <f>IF(AND(Enrollment_Log!J4&lt;&gt;"Yes",Enrollment_Log!K4&lt;&gt;""),"LOGIC  ERROR","OK")</f>
        <v>OK</v>
      </c>
      <c r="H4" t="str">
        <f>IF(Enrollment_Log!A4="","MISSING","OK")</f>
        <v>OK</v>
      </c>
      <c r="I4" t="str">
        <f>IF(Enrollment_Log!B4="","MISSING","OK")</f>
        <v>OK</v>
      </c>
      <c r="J4" s="1" t="str">
        <f t="shared" si="0"/>
        <v>OK</v>
      </c>
    </row>
    <row r="5" spans="1:10" ht="45">
      <c r="A5" t="str">
        <f>Enrollment_Log!A5</f>
        <v>P004</v>
      </c>
      <c r="B5" t="str">
        <f>IF(OR(Enrollment_Log!E5&lt;100,Enrollment_Log!E5&gt;250),"OUT OF RANGE","OK")</f>
        <v>OK</v>
      </c>
      <c r="C5" t="str">
        <f>IF(OR(Enrollment_Log!F5&lt;30,Enrollment_Log!F5&gt;300),"OUT OF RANGE","OK")</f>
        <v>OK</v>
      </c>
      <c r="D5" s="1" t="str">
        <f>IF(OR(Enrollment_Log!G5&lt;105,Enrollment_Log!G5&gt;150),"OUTSIDE EXPECTED RANGE","OK")</f>
        <v>OUTSIDE EXPECTED RANGE</v>
      </c>
      <c r="E5" s="1" t="str">
        <f>IF(OR(Enrollment_Log!H5&lt;65,Enrollment_Log!H5&gt;95),"OUTSIDE EXPECTED RANGE","OK")</f>
        <v>OUTSIDE EXPECTED RANGE</v>
      </c>
      <c r="F5" s="1" t="str">
        <f>IF(OR(Enrollment_Log!I5&lt;58,Enrollment_Log!I5&gt;100),"OUTSIDE EXPECTED RANGE","OK")</f>
        <v>OK</v>
      </c>
      <c r="G5" t="str">
        <f>IF(AND(Enrollment_Log!J5&lt;&gt;"Yes",Enrollment_Log!K5&lt;&gt;""),"LOGIC  ERROR","OK")</f>
        <v>OK</v>
      </c>
      <c r="H5" t="str">
        <f>IF(Enrollment_Log!A5="","MISSING","OK")</f>
        <v>OK</v>
      </c>
      <c r="I5" t="str">
        <f>IF(Enrollment_Log!B5="","MISSING","OK")</f>
        <v>OK</v>
      </c>
      <c r="J5" s="1" t="str">
        <f t="shared" si="0"/>
        <v>REVIEW NEEDED</v>
      </c>
    </row>
    <row r="6" spans="1:10">
      <c r="A6" t="str">
        <f>Enrollment_Log!A6</f>
        <v>P005</v>
      </c>
      <c r="B6" t="str">
        <f>IF(OR(Enrollment_Log!E6&lt;100,Enrollment_Log!E6&gt;250),"OUT OF RANGE","OK")</f>
        <v>OK</v>
      </c>
      <c r="C6" t="str">
        <f>IF(OR(Enrollment_Log!F6&lt;30,Enrollment_Log!F6&gt;300),"OUT OF RANGE","OK")</f>
        <v>OK</v>
      </c>
      <c r="D6" s="1" t="str">
        <f>IF(OR(Enrollment_Log!G6&lt;105,Enrollment_Log!G6&gt;150),"OUTSIDE EXPECTED RANGE","OK")</f>
        <v>OK</v>
      </c>
      <c r="E6" s="1" t="str">
        <f>IF(OR(Enrollment_Log!H6&lt;65,Enrollment_Log!H6&gt;95),"OUTSIDE EXPECTED RANGE","OK")</f>
        <v>OK</v>
      </c>
      <c r="F6" s="1" t="str">
        <f>IF(OR(Enrollment_Log!I6&lt;58,Enrollment_Log!I6&gt;100),"OUTSIDE EXPECTED RANGE","OK")</f>
        <v>OK</v>
      </c>
      <c r="G6" t="str">
        <f>IF(AND(Enrollment_Log!J6&lt;&gt;"Yes",Enrollment_Log!K6&lt;&gt;""),"LOGIC  ERROR","OK")</f>
        <v>OK</v>
      </c>
      <c r="H6" t="str">
        <f>IF(Enrollment_Log!A6="","MISSING","OK")</f>
        <v>OK</v>
      </c>
      <c r="I6" t="str">
        <f>IF(Enrollment_Log!B6="","MISSING","OK")</f>
        <v>OK</v>
      </c>
      <c r="J6" s="1" t="str">
        <f t="shared" si="0"/>
        <v>OK</v>
      </c>
    </row>
    <row r="7" spans="1:10" ht="45">
      <c r="A7" t="str">
        <f>Enrollment_Log!A7</f>
        <v>P006</v>
      </c>
      <c r="B7" t="str">
        <f>IF(OR(Enrollment_Log!E7&lt;100,Enrollment_Log!E7&gt;250),"OUT OF RANGE","OK")</f>
        <v>OK</v>
      </c>
      <c r="C7" t="str">
        <f>IF(OR(Enrollment_Log!F7&lt;30,Enrollment_Log!F7&gt;300),"OUT OF RANGE","OK")</f>
        <v>OK</v>
      </c>
      <c r="D7" s="1" t="str">
        <f>IF(OR(Enrollment_Log!G7&lt;105,Enrollment_Log!G7&gt;150),"OUTSIDE EXPECTED RANGE","OK")</f>
        <v>OK</v>
      </c>
      <c r="E7" s="1" t="str">
        <f>IF(OR(Enrollment_Log!H7&lt;65,Enrollment_Log!H7&gt;95),"OUTSIDE EXPECTED RANGE","OK")</f>
        <v>OK</v>
      </c>
      <c r="F7" s="1" t="str">
        <f>IF(OR(Enrollment_Log!I7&lt;58,Enrollment_Log!I7&gt;100),"OUTSIDE EXPECTED RANGE","OK")</f>
        <v>OK</v>
      </c>
      <c r="G7" t="str">
        <f>IF(AND(Enrollment_Log!J7&lt;&gt;"Yes",Enrollment_Log!K7&lt;&gt;""),"LOGIC  ERROR","OK")</f>
        <v>OK</v>
      </c>
      <c r="H7" t="str">
        <f>IF(Enrollment_Log!A7="","MISSING","OK")</f>
        <v>OK</v>
      </c>
      <c r="I7" t="str">
        <f>IF(Enrollment_Log!B7="","MISSING","OK")</f>
        <v>OK</v>
      </c>
      <c r="J7" s="1" t="str">
        <f t="shared" si="0"/>
        <v>OK</v>
      </c>
    </row>
    <row r="8" spans="1:10" ht="45">
      <c r="A8" t="str">
        <f>Enrollment_Log!A8</f>
        <v>P007</v>
      </c>
      <c r="B8" t="str">
        <f>IF(OR(Enrollment_Log!E8&lt;100,Enrollment_Log!E8&gt;250),"OUT OF RANGE","OK")</f>
        <v>OK</v>
      </c>
      <c r="C8" t="str">
        <f>IF(OR(Enrollment_Log!F8&lt;30,Enrollment_Log!F8&gt;300),"OUT OF RANGE","OK")</f>
        <v>OK</v>
      </c>
      <c r="D8" s="1" t="str">
        <f>IF(OR(Enrollment_Log!G8&lt;105,Enrollment_Log!G8&gt;150),"OUTSIDE EXPECTED RANGE","OK")</f>
        <v>OK</v>
      </c>
      <c r="E8" s="1" t="str">
        <f>IF(OR(Enrollment_Log!H8&lt;65,Enrollment_Log!H8&gt;95),"OUTSIDE EXPECTED RANGE","OK")</f>
        <v>OK</v>
      </c>
      <c r="F8" s="1" t="str">
        <f>IF(OR(Enrollment_Log!I8&lt;58,Enrollment_Log!I8&gt;100),"OUTSIDE EXPECTED RANGE","OK")</f>
        <v>OUTSIDE EXPECTED RANGE</v>
      </c>
      <c r="G8" t="str">
        <f>IF(AND(Enrollment_Log!J8&lt;&gt;"Yes",Enrollment_Log!K8&lt;&gt;""),"LOGIC  ERROR","OK")</f>
        <v>OK</v>
      </c>
      <c r="H8" t="str">
        <f>IF(Enrollment_Log!A8="","MISSING","OK")</f>
        <v>OK</v>
      </c>
      <c r="I8" t="str">
        <f>IF(Enrollment_Log!B8="","MISSING","OK")</f>
        <v>OK</v>
      </c>
      <c r="J8" s="1" t="str">
        <f t="shared" si="0"/>
        <v>REVIEW NEEDED</v>
      </c>
    </row>
    <row r="9" spans="1:10" ht="30">
      <c r="A9" t="str">
        <f>Enrollment_Log!A9</f>
        <v>P008</v>
      </c>
      <c r="B9" t="str">
        <f>IF(OR(Enrollment_Log!E9&lt;100,Enrollment_Log!E9&gt;250),"OUT OF RANGE","OK")</f>
        <v>OK</v>
      </c>
      <c r="C9" t="str">
        <f>IF(OR(Enrollment_Log!F9&lt;30,Enrollment_Log!F9&gt;300),"OUT OF RANGE","OK")</f>
        <v>OK</v>
      </c>
      <c r="D9" s="1" t="str">
        <f>IF(OR(Enrollment_Log!G9&lt;105,Enrollment_Log!G9&gt;150),"OUTSIDE EXPECTED RANGE","OK")</f>
        <v>OUTSIDE EXPECTED RANGE</v>
      </c>
      <c r="E9" s="1" t="str">
        <f>IF(OR(Enrollment_Log!H9&lt;65,Enrollment_Log!H9&gt;95),"OUTSIDE EXPECTED RANGE","OK")</f>
        <v>OUTSIDE EXPECTED RANGE</v>
      </c>
      <c r="F9" s="1" t="str">
        <f>IF(OR(Enrollment_Log!I9&lt;58,Enrollment_Log!I9&gt;100),"OUTSIDE EXPECTED RANGE","OK")</f>
        <v>OK</v>
      </c>
      <c r="G9" t="str">
        <f>IF(AND(Enrollment_Log!J9&lt;&gt;"Yes",Enrollment_Log!K9&lt;&gt;""),"LOGIC  ERROR","OK")</f>
        <v>OK</v>
      </c>
      <c r="H9" t="str">
        <f>IF(Enrollment_Log!A9="","MISSING","OK")</f>
        <v>OK</v>
      </c>
      <c r="I9" t="str">
        <f>IF(Enrollment_Log!B9="","MISSING","OK")</f>
        <v>OK</v>
      </c>
      <c r="J9" s="1" t="str">
        <f t="shared" si="0"/>
        <v>REVIEW NEEDED</v>
      </c>
    </row>
    <row r="10" spans="1:10" ht="30">
      <c r="A10" t="str">
        <f>Enrollment_Log!A10</f>
        <v>P009</v>
      </c>
      <c r="B10" t="str">
        <f>IF(OR(Enrollment_Log!E10&lt;100,Enrollment_Log!E10&gt;250),"OUT OF RANGE","OK")</f>
        <v>OK</v>
      </c>
      <c r="C10" t="str">
        <f>IF(OR(Enrollment_Log!F10&lt;30,Enrollment_Log!F10&gt;300),"OUT OF RANGE","OK")</f>
        <v>OK</v>
      </c>
      <c r="D10" s="1" t="str">
        <f>IF(OR(Enrollment_Log!G10&lt;105,Enrollment_Log!G10&gt;150),"OUTSIDE EXPECTED RANGE","OK")</f>
        <v>OK</v>
      </c>
      <c r="E10" s="1" t="str">
        <f>IF(OR(Enrollment_Log!H10&lt;65,Enrollment_Log!H10&gt;95),"OUTSIDE EXPECTED RANGE","OK")</f>
        <v>OK</v>
      </c>
      <c r="F10" s="1" t="str">
        <f>IF(OR(Enrollment_Log!I10&lt;58,Enrollment_Log!I10&gt;100),"OUTSIDE EXPECTED RANGE","OK")</f>
        <v>OK</v>
      </c>
      <c r="G10" t="str">
        <f>IF(AND(Enrollment_Log!J10&lt;&gt;"Yes",Enrollment_Log!K10&lt;&gt;""),"LOGIC  ERROR","OK")</f>
        <v>OK</v>
      </c>
      <c r="H10" t="str">
        <f>IF(Enrollment_Log!A10="","MISSING","OK")</f>
        <v>OK</v>
      </c>
      <c r="I10" t="str">
        <f>IF(Enrollment_Log!B10="","MISSING","OK")</f>
        <v>OK</v>
      </c>
      <c r="J10" s="1" t="str">
        <f t="shared" si="0"/>
        <v>OK</v>
      </c>
    </row>
    <row r="11" spans="1:10">
      <c r="A11" t="str">
        <f>Enrollment_Log!A11</f>
        <v>P010</v>
      </c>
      <c r="B11" t="str">
        <f>IF(OR(Enrollment_Log!E11&lt;100,Enrollment_Log!E11&gt;250),"OUT OF RANGE","OK")</f>
        <v>OK</v>
      </c>
      <c r="C11" t="str">
        <f>IF(OR(Enrollment_Log!F11&lt;30,Enrollment_Log!F11&gt;300),"OUT OF RANGE","OK")</f>
        <v>OK</v>
      </c>
      <c r="D11" s="1" t="str">
        <f>IF(OR(Enrollment_Log!G11&lt;105,Enrollment_Log!G11&gt;150),"OUTSIDE EXPECTED RANGE","OK")</f>
        <v>OK</v>
      </c>
      <c r="E11" s="1" t="str">
        <f>IF(OR(Enrollment_Log!H11&lt;65,Enrollment_Log!H11&gt;95),"OUTSIDE EXPECTED RANGE","OK")</f>
        <v>OK</v>
      </c>
      <c r="F11" s="1" t="str">
        <f>IF(OR(Enrollment_Log!I11&lt;58,Enrollment_Log!I11&gt;100),"OUTSIDE EXPECTED RANGE","OK")</f>
        <v>OK</v>
      </c>
      <c r="G11" t="str">
        <f>IF(AND(Enrollment_Log!J11&lt;&gt;"Yes",Enrollment_Log!K11&lt;&gt;""),"LOGIC  ERROR","OK")</f>
        <v>OK</v>
      </c>
      <c r="H11" t="str">
        <f>IF(Enrollment_Log!A11="","MISSING","OK")</f>
        <v>OK</v>
      </c>
      <c r="I11" t="str">
        <f>IF(Enrollment_Log!B11="","MISSING","OK")</f>
        <v>OK</v>
      </c>
      <c r="J11" s="1" t="str">
        <f t="shared" si="0"/>
        <v>OK</v>
      </c>
    </row>
    <row r="12" spans="1:10" ht="30">
      <c r="A12" t="str">
        <f>Enrollment_Log!A12</f>
        <v>P011</v>
      </c>
      <c r="B12" t="str">
        <f>IF(OR(Enrollment_Log!E12&lt;100,Enrollment_Log!E12&gt;250),"OUT OF RANGE","OK")</f>
        <v>OK</v>
      </c>
      <c r="C12" t="str">
        <f>IF(OR(Enrollment_Log!F12&lt;30,Enrollment_Log!F12&gt;300),"OUT OF RANGE","OK")</f>
        <v>OK</v>
      </c>
      <c r="D12" s="1" t="str">
        <f>IF(OR(Enrollment_Log!G12&lt;105,Enrollment_Log!G12&gt;150),"OUTSIDE EXPECTED RANGE","OK")</f>
        <v>OUTSIDE EXPECTED RANGE</v>
      </c>
      <c r="E12" s="1" t="str">
        <f>IF(OR(Enrollment_Log!H12&lt;65,Enrollment_Log!H12&gt;95),"OUTSIDE EXPECTED RANGE","OK")</f>
        <v>OUTSIDE EXPECTED RANGE</v>
      </c>
      <c r="F12" s="1" t="str">
        <f>IF(OR(Enrollment_Log!I12&lt;58,Enrollment_Log!I12&gt;100),"OUTSIDE EXPECTED RANGE","OK")</f>
        <v>OK</v>
      </c>
      <c r="G12" t="str">
        <f>IF(AND(Enrollment_Log!J12&lt;&gt;"Yes",Enrollment_Log!K12&lt;&gt;""),"LOGIC  ERROR","OK")</f>
        <v>OK</v>
      </c>
      <c r="H12" t="str">
        <f>IF(Enrollment_Log!A12="","MISSING","OK")</f>
        <v>OK</v>
      </c>
      <c r="I12" t="str">
        <f>IF(Enrollment_Log!B12="","MISSING","OK")</f>
        <v>OK</v>
      </c>
      <c r="J12" s="1" t="str">
        <f t="shared" si="0"/>
        <v>REVIEW NEEDED</v>
      </c>
    </row>
    <row r="13" spans="1:10" ht="45">
      <c r="A13" t="str">
        <f>Enrollment_Log!A13</f>
        <v>P012</v>
      </c>
      <c r="B13" t="str">
        <f>IF(OR(Enrollment_Log!E13&lt;100,Enrollment_Log!E13&gt;250),"OUT OF RANGE","OK")</f>
        <v>OK</v>
      </c>
      <c r="C13" t="str">
        <f>IF(OR(Enrollment_Log!F13&lt;30,Enrollment_Log!F13&gt;300),"OUT OF RANGE","OK")</f>
        <v>OK</v>
      </c>
      <c r="D13" s="1" t="str">
        <f>IF(OR(Enrollment_Log!G13&lt;105,Enrollment_Log!G13&gt;150),"OUTSIDE EXPECTED RANGE","OK")</f>
        <v>OK</v>
      </c>
      <c r="E13" s="1" t="str">
        <f>IF(OR(Enrollment_Log!H13&lt;65,Enrollment_Log!H13&gt;95),"OUTSIDE EXPECTED RANGE","OK")</f>
        <v>OK</v>
      </c>
      <c r="F13" s="1" t="str">
        <f>IF(OR(Enrollment_Log!I13&lt;58,Enrollment_Log!I13&gt;100),"OUTSIDE EXPECTED RANGE","OK")</f>
        <v>OK</v>
      </c>
      <c r="G13" t="str">
        <f>IF(AND(Enrollment_Log!J13&lt;&gt;"Yes",Enrollment_Log!K13&lt;&gt;""),"LOGIC  ERROR","OK")</f>
        <v>OK</v>
      </c>
      <c r="H13" t="str">
        <f>IF(Enrollment_Log!A13="","MISSING","OK")</f>
        <v>OK</v>
      </c>
      <c r="I13" t="str">
        <f>IF(Enrollment_Log!B13="","MISSING","OK")</f>
        <v>OK</v>
      </c>
      <c r="J13" s="1" t="str">
        <f t="shared" si="0"/>
        <v>OK</v>
      </c>
    </row>
    <row r="14" spans="1:10" ht="30">
      <c r="A14" t="str">
        <f>Enrollment_Log!A14</f>
        <v>P013</v>
      </c>
      <c r="B14" t="str">
        <f>IF(OR(Enrollment_Log!E14&lt;100,Enrollment_Log!E14&gt;250),"OUT OF RANGE","OK")</f>
        <v>OK</v>
      </c>
      <c r="C14" t="str">
        <f>IF(OR(Enrollment_Log!F14&lt;30,Enrollment_Log!F14&gt;300),"OUT OF RANGE","OK")</f>
        <v>OK</v>
      </c>
      <c r="D14" s="1" t="str">
        <f>IF(OR(Enrollment_Log!G14&lt;105,Enrollment_Log!G14&gt;150),"OUTSIDE EXPECTED RANGE","OK")</f>
        <v>OK</v>
      </c>
      <c r="E14" s="1" t="str">
        <f>IF(OR(Enrollment_Log!H14&lt;65,Enrollment_Log!H14&gt;95),"OUTSIDE EXPECTED RANGE","OK")</f>
        <v>OK</v>
      </c>
      <c r="F14" s="1" t="str">
        <f>IF(OR(Enrollment_Log!I14&lt;58,Enrollment_Log!I14&gt;100),"OUTSIDE EXPECTED RANGE","OK")</f>
        <v>OK</v>
      </c>
      <c r="G14" t="str">
        <f>IF(AND(Enrollment_Log!J14&lt;&gt;"Yes",Enrollment_Log!K14&lt;&gt;""),"LOGIC  ERROR","OK")</f>
        <v>OK</v>
      </c>
      <c r="H14" t="str">
        <f>IF(Enrollment_Log!A14="","MISSING","OK")</f>
        <v>OK</v>
      </c>
      <c r="I14" t="str">
        <f>IF(Enrollment_Log!B14="","MISSING","OK")</f>
        <v>OK</v>
      </c>
      <c r="J14" s="1" t="str">
        <f t="shared" si="0"/>
        <v>OK</v>
      </c>
    </row>
    <row r="15" spans="1:10" ht="45">
      <c r="A15" t="str">
        <f>Enrollment_Log!A15</f>
        <v>P014</v>
      </c>
      <c r="B15" t="str">
        <f>IF(OR(Enrollment_Log!E15&lt;100,Enrollment_Log!E15&gt;250),"OUT OF RANGE","OK")</f>
        <v>OK</v>
      </c>
      <c r="C15" t="str">
        <f>IF(OR(Enrollment_Log!F15&lt;30,Enrollment_Log!F15&gt;300),"OUT OF RANGE","OK")</f>
        <v>OK</v>
      </c>
      <c r="D15" s="1" t="str">
        <f>IF(OR(Enrollment_Log!G15&lt;105,Enrollment_Log!G15&gt;150),"OUTSIDE EXPECTED RANGE","OK")</f>
        <v>OUTSIDE EXPECTED RANGE</v>
      </c>
      <c r="E15" s="1" t="str">
        <f>IF(OR(Enrollment_Log!H15&lt;65,Enrollment_Log!H15&gt;95),"OUTSIDE EXPECTED RANGE","OK")</f>
        <v>OUTSIDE EXPECTED RANGE</v>
      </c>
      <c r="F15" s="1" t="str">
        <f>IF(OR(Enrollment_Log!I15&lt;58,Enrollment_Log!I15&gt;100),"OUTSIDE EXPECTED RANGE","OK")</f>
        <v>OUTSIDE EXPECTED RANGE</v>
      </c>
      <c r="G15" t="str">
        <f>IF(AND(Enrollment_Log!J15&lt;&gt;"Yes",Enrollment_Log!K15&lt;&gt;""),"LOGIC  ERROR","OK")</f>
        <v>OK</v>
      </c>
      <c r="H15" t="str">
        <f>IF(Enrollment_Log!A15="","MISSING","OK")</f>
        <v>OK</v>
      </c>
      <c r="I15" t="str">
        <f>IF(Enrollment_Log!B15="","MISSING","OK")</f>
        <v>OK</v>
      </c>
      <c r="J15" s="1" t="str">
        <f t="shared" si="0"/>
        <v>REVIEW NEEDED</v>
      </c>
    </row>
    <row r="16" spans="1:10" ht="30">
      <c r="A16" t="str">
        <f>Enrollment_Log!A16</f>
        <v>P015</v>
      </c>
      <c r="B16" t="str">
        <f>IF(OR(Enrollment_Log!E16&lt;100,Enrollment_Log!E16&gt;250),"OUT OF RANGE","OK")</f>
        <v>OK</v>
      </c>
      <c r="C16" t="str">
        <f>IF(OR(Enrollment_Log!F16&lt;30,Enrollment_Log!F16&gt;300),"OUT OF RANGE","OK")</f>
        <v>OK</v>
      </c>
      <c r="D16" s="1" t="str">
        <f>IF(OR(Enrollment_Log!G16&lt;105,Enrollment_Log!G16&gt;150),"OUTSIDE EXPECTED RANGE","OK")</f>
        <v>OK</v>
      </c>
      <c r="E16" s="1" t="str">
        <f>IF(OR(Enrollment_Log!H16&lt;65,Enrollment_Log!H16&gt;95),"OUTSIDE EXPECTED RANGE","OK")</f>
        <v>OK</v>
      </c>
      <c r="F16" s="1" t="str">
        <f>IF(OR(Enrollment_Log!I16&lt;58,Enrollment_Log!I16&gt;100),"OUTSIDE EXPECTED RANGE","OK")</f>
        <v>OK</v>
      </c>
      <c r="G16" t="str">
        <f>IF(AND(Enrollment_Log!J16&lt;&gt;"Yes",Enrollment_Log!K16&lt;&gt;""),"LOGIC  ERROR","OK")</f>
        <v>OK</v>
      </c>
      <c r="H16" t="str">
        <f>IF(Enrollment_Log!A16="","MISSING","OK")</f>
        <v>OK</v>
      </c>
      <c r="I16" t="str">
        <f>IF(Enrollment_Log!B16="","MISSING","OK")</f>
        <v>OK</v>
      </c>
      <c r="J16" s="1" t="str">
        <f t="shared" si="0"/>
        <v>OK</v>
      </c>
    </row>
    <row r="17" spans="1:10" ht="30">
      <c r="A17" t="str">
        <f>Enrollment_Log!A17</f>
        <v>P016</v>
      </c>
      <c r="B17" t="str">
        <f>IF(OR(Enrollment_Log!E17&lt;100,Enrollment_Log!E17&gt;250),"OUT OF RANGE","OK")</f>
        <v>OK</v>
      </c>
      <c r="C17" t="str">
        <f>IF(OR(Enrollment_Log!F17&lt;30,Enrollment_Log!F17&gt;300),"OUT OF RANGE","OK")</f>
        <v>OK</v>
      </c>
      <c r="D17" s="1" t="str">
        <f>IF(OR(Enrollment_Log!G17&lt;105,Enrollment_Log!G17&gt;150),"OUTSIDE EXPECTED RANGE","OK")</f>
        <v>OK</v>
      </c>
      <c r="E17" s="1" t="str">
        <f>IF(OR(Enrollment_Log!H17&lt;65,Enrollment_Log!H17&gt;95),"OUTSIDE EXPECTED RANGE","OK")</f>
        <v>OK</v>
      </c>
      <c r="F17" s="1" t="str">
        <f>IF(OR(Enrollment_Log!I17&lt;58,Enrollment_Log!I17&gt;100),"OUTSIDE EXPECTED RANGE","OK")</f>
        <v>OK</v>
      </c>
      <c r="G17" t="str">
        <f>IF(AND(Enrollment_Log!J17&lt;&gt;"Yes",Enrollment_Log!K17&lt;&gt;""),"LOGIC  ERROR","OK")</f>
        <v>OK</v>
      </c>
      <c r="H17" t="str">
        <f>IF(Enrollment_Log!A17="","MISSING","OK")</f>
        <v>OK</v>
      </c>
      <c r="I17" t="str">
        <f>IF(Enrollment_Log!B17="","MISSING","OK")</f>
        <v>OK</v>
      </c>
      <c r="J17" s="1" t="str">
        <f t="shared" si="0"/>
        <v>OK</v>
      </c>
    </row>
    <row r="18" spans="1:10" ht="30">
      <c r="A18" t="str">
        <f>Enrollment_Log!A18</f>
        <v>P017</v>
      </c>
      <c r="B18" t="str">
        <f>IF(OR(Enrollment_Log!E18&lt;100,Enrollment_Log!E18&gt;250),"OUT OF RANGE","OK")</f>
        <v>OK</v>
      </c>
      <c r="C18" t="str">
        <f>IF(OR(Enrollment_Log!F18&lt;30,Enrollment_Log!F18&gt;300),"OUT OF RANGE","OK")</f>
        <v>OK</v>
      </c>
      <c r="D18" s="1" t="str">
        <f>IF(OR(Enrollment_Log!G18&lt;105,Enrollment_Log!G18&gt;150),"OUTSIDE EXPECTED RANGE","OK")</f>
        <v>OK</v>
      </c>
      <c r="E18" s="1" t="str">
        <f>IF(OR(Enrollment_Log!H18&lt;65,Enrollment_Log!H18&gt;95),"OUTSIDE EXPECTED RANGE","OK")</f>
        <v>OK</v>
      </c>
      <c r="F18" s="1" t="str">
        <f>IF(OR(Enrollment_Log!I18&lt;58,Enrollment_Log!I18&gt;100),"OUTSIDE EXPECTED RANGE","OK")</f>
        <v>OK</v>
      </c>
      <c r="G18" t="str">
        <f>IF(AND(Enrollment_Log!J18&lt;&gt;"Yes",Enrollment_Log!K18&lt;&gt;""),"LOGIC  ERROR","OK")</f>
        <v>OK</v>
      </c>
      <c r="H18" t="str">
        <f>IF(Enrollment_Log!A18="","MISSING","OK")</f>
        <v>OK</v>
      </c>
      <c r="I18" t="str">
        <f>IF(Enrollment_Log!B18="","MISSING","OK")</f>
        <v>OK</v>
      </c>
      <c r="J18" s="1" t="str">
        <f t="shared" si="0"/>
        <v>OK</v>
      </c>
    </row>
    <row r="19" spans="1:10">
      <c r="A19" t="str">
        <f>Enrollment_Log!A19</f>
        <v>P018</v>
      </c>
      <c r="B19" t="str">
        <f>IF(OR(Enrollment_Log!E19&lt;100,Enrollment_Log!E19&gt;250),"OUT OF RANGE","OK")</f>
        <v>OK</v>
      </c>
      <c r="C19" t="str">
        <f>IF(OR(Enrollment_Log!F19&lt;30,Enrollment_Log!F19&gt;300),"OUT OF RANGE","OK")</f>
        <v>OK</v>
      </c>
      <c r="D19" s="1" t="str">
        <f>IF(OR(Enrollment_Log!G19&lt;105,Enrollment_Log!G19&gt;150),"OUTSIDE EXPECTED RANGE","OK")</f>
        <v>OK</v>
      </c>
      <c r="E19" s="1" t="str">
        <f>IF(OR(Enrollment_Log!H19&lt;65,Enrollment_Log!H19&gt;95),"OUTSIDE EXPECTED RANGE","OK")</f>
        <v>OK</v>
      </c>
      <c r="F19" s="1" t="str">
        <f>IF(OR(Enrollment_Log!I19&lt;58,Enrollment_Log!I19&gt;100),"OUTSIDE EXPECTED RANGE","OK")</f>
        <v>OK</v>
      </c>
      <c r="G19" t="str">
        <f>IF(AND(Enrollment_Log!J19&lt;&gt;"Yes",Enrollment_Log!K19&lt;&gt;""),"LOGIC  ERROR","OK")</f>
        <v>OK</v>
      </c>
      <c r="H19" t="str">
        <f>IF(Enrollment_Log!A19="","MISSING","OK")</f>
        <v>OK</v>
      </c>
      <c r="I19" t="str">
        <f>IF(Enrollment_Log!B19="","MISSING","OK")</f>
        <v>OK</v>
      </c>
      <c r="J19" s="1" t="str">
        <f t="shared" si="0"/>
        <v>OK</v>
      </c>
    </row>
    <row r="20" spans="1:10">
      <c r="A20" t="str">
        <f>Enrollment_Log!A20</f>
        <v>P019</v>
      </c>
      <c r="B20" t="str">
        <f>IF(OR(Enrollment_Log!E20&lt;100,Enrollment_Log!E20&gt;250),"OUT OF RANGE","OK")</f>
        <v>OK</v>
      </c>
      <c r="C20" t="str">
        <f>IF(OR(Enrollment_Log!F20&lt;30,Enrollment_Log!F20&gt;300),"OUT OF RANGE","OK")</f>
        <v>OK</v>
      </c>
      <c r="D20" s="1" t="str">
        <f>IF(OR(Enrollment_Log!G20&lt;105,Enrollment_Log!G20&gt;150),"OUTSIDE EXPECTED RANGE","OK")</f>
        <v>OK</v>
      </c>
      <c r="E20" s="1" t="str">
        <f>IF(OR(Enrollment_Log!H20&lt;65,Enrollment_Log!H20&gt;95),"OUTSIDE EXPECTED RANGE","OK")</f>
        <v>OK</v>
      </c>
      <c r="F20" s="1" t="str">
        <f>IF(OR(Enrollment_Log!I20&lt;58,Enrollment_Log!I20&gt;100),"OUTSIDE EXPECTED RANGE","OK")</f>
        <v>OK</v>
      </c>
      <c r="G20" t="str">
        <f>IF(AND(Enrollment_Log!J20&lt;&gt;"Yes",Enrollment_Log!K20&lt;&gt;""),"LOGIC  ERROR","OK")</f>
        <v>OK</v>
      </c>
      <c r="H20" t="str">
        <f>IF(Enrollment_Log!A20="","MISSING","OK")</f>
        <v>OK</v>
      </c>
      <c r="I20" t="str">
        <f>IF(Enrollment_Log!B20="","MISSING","OK")</f>
        <v>OK</v>
      </c>
      <c r="J20" s="1" t="str">
        <f t="shared" si="0"/>
        <v>OK</v>
      </c>
    </row>
    <row r="21" spans="1:10" ht="30">
      <c r="A21" t="str">
        <f>Enrollment_Log!A21</f>
        <v>P020</v>
      </c>
      <c r="B21" t="str">
        <f>IF(OR(Enrollment_Log!E21&lt;100,Enrollment_Log!E21&gt;250),"OUT OF RANGE","OK")</f>
        <v>OK</v>
      </c>
      <c r="C21" t="str">
        <f>IF(OR(Enrollment_Log!F21&lt;30,Enrollment_Log!F21&gt;300),"OUT OF RANGE","OK")</f>
        <v>OK</v>
      </c>
      <c r="D21" s="1" t="str">
        <f>IF(OR(Enrollment_Log!G21&lt;105,Enrollment_Log!G21&gt;150),"OUTSIDE EXPECTED RANGE","OK")</f>
        <v>OUTSIDE EXPECTED RANGE</v>
      </c>
      <c r="E21" s="1" t="str">
        <f>IF(OR(Enrollment_Log!H21&lt;65,Enrollment_Log!H21&gt;95),"OUTSIDE EXPECTED RANGE","OK")</f>
        <v>OUTSIDE EXPECTED RANGE</v>
      </c>
      <c r="F21" s="1" t="str">
        <f>IF(OR(Enrollment_Log!I21&lt;58,Enrollment_Log!I21&gt;100),"OUTSIDE EXPECTED RANGE","OK")</f>
        <v>OK</v>
      </c>
      <c r="G21" t="str">
        <f>IF(AND(Enrollment_Log!J21&lt;&gt;"Yes",Enrollment_Log!K21&lt;&gt;""),"LOGIC  ERROR","OK")</f>
        <v>OK</v>
      </c>
      <c r="H21" t="str">
        <f>IF(Enrollment_Log!A21="","MISSING","OK")</f>
        <v>OK</v>
      </c>
      <c r="I21" t="str">
        <f>IF(Enrollment_Log!B21="","MISSING","OK")</f>
        <v>OK</v>
      </c>
      <c r="J21" s="1" t="str">
        <f t="shared" si="0"/>
        <v>REVIEW NEEDED</v>
      </c>
    </row>
    <row r="22" spans="1:10">
      <c r="A22" t="str">
        <f>Enrollment_Log!A22</f>
        <v>P021</v>
      </c>
      <c r="B22" t="str">
        <f>IF(OR(Enrollment_Log!E22&lt;100,Enrollment_Log!E22&gt;250),"OUT OF RANGE","OK")</f>
        <v>OK</v>
      </c>
      <c r="C22" t="str">
        <f>IF(OR(Enrollment_Log!F22&lt;30,Enrollment_Log!F22&gt;300),"OUT OF RANGE","OK")</f>
        <v>OK</v>
      </c>
      <c r="D22" s="1" t="str">
        <f>IF(OR(Enrollment_Log!G22&lt;105,Enrollment_Log!G22&gt;150),"OUTSIDE EXPECTED RANGE","OK")</f>
        <v>OK</v>
      </c>
      <c r="E22" s="1" t="str">
        <f>IF(OR(Enrollment_Log!H22&lt;65,Enrollment_Log!H22&gt;95),"OUTSIDE EXPECTED RANGE","OK")</f>
        <v>OK</v>
      </c>
      <c r="F22" s="1" t="str">
        <f>IF(OR(Enrollment_Log!I22&lt;58,Enrollment_Log!I22&gt;100),"OUTSIDE EXPECTED RANGE","OK")</f>
        <v>OK</v>
      </c>
      <c r="G22" t="str">
        <f>IF(AND(Enrollment_Log!J22&lt;&gt;"Yes",Enrollment_Log!K22&lt;&gt;""),"LOGIC  ERROR","OK")</f>
        <v>OK</v>
      </c>
      <c r="H22" t="str">
        <f>IF(Enrollment_Log!A22="","MISSING","OK")</f>
        <v>OK</v>
      </c>
      <c r="I22" t="str">
        <f>IF(Enrollment_Log!B22="","MISSING","OK")</f>
        <v>OK</v>
      </c>
      <c r="J22" s="1" t="str">
        <f t="shared" si="0"/>
        <v>OK</v>
      </c>
    </row>
    <row r="23" spans="1:10" ht="45">
      <c r="A23" t="str">
        <f>Enrollment_Log!A23</f>
        <v>P022</v>
      </c>
      <c r="B23" t="str">
        <f>IF(OR(Enrollment_Log!E23&lt;100,Enrollment_Log!E23&gt;250),"OUT OF RANGE","OK")</f>
        <v>OK</v>
      </c>
      <c r="C23" t="str">
        <f>IF(OR(Enrollment_Log!F23&lt;30,Enrollment_Log!F23&gt;300),"OUT OF RANGE","OK")</f>
        <v>OK</v>
      </c>
      <c r="D23" s="1" t="str">
        <f>IF(OR(Enrollment_Log!G23&lt;105,Enrollment_Log!G23&gt;150),"OUTSIDE EXPECTED RANGE","OK")</f>
        <v>OK</v>
      </c>
      <c r="E23" s="1" t="str">
        <f>IF(OR(Enrollment_Log!H23&lt;65,Enrollment_Log!H23&gt;95),"OUTSIDE EXPECTED RANGE","OK")</f>
        <v>OK</v>
      </c>
      <c r="F23" s="1" t="str">
        <f>IF(OR(Enrollment_Log!I23&lt;58,Enrollment_Log!I23&gt;100),"OUTSIDE EXPECTED RANGE","OK")</f>
        <v>OK</v>
      </c>
      <c r="G23" t="str">
        <f>IF(AND(Enrollment_Log!J23&lt;&gt;"Yes",Enrollment_Log!K23&lt;&gt;""),"LOGIC  ERROR","OK")</f>
        <v>OK</v>
      </c>
      <c r="H23" t="str">
        <f>IF(Enrollment_Log!A23="","MISSING","OK")</f>
        <v>OK</v>
      </c>
      <c r="I23" t="str">
        <f>IF(Enrollment_Log!B23="","MISSING","OK")</f>
        <v>OK</v>
      </c>
      <c r="J23" s="1" t="str">
        <f t="shared" si="0"/>
        <v>OK</v>
      </c>
    </row>
    <row r="24" spans="1:10">
      <c r="A24" t="str">
        <f>Enrollment_Log!A24</f>
        <v>P023</v>
      </c>
      <c r="B24" t="str">
        <f>IF(OR(Enrollment_Log!E24&lt;100,Enrollment_Log!E24&gt;250),"OUT OF RANGE","OK")</f>
        <v>OK</v>
      </c>
      <c r="C24" t="str">
        <f>IF(OR(Enrollment_Log!F24&lt;30,Enrollment_Log!F24&gt;300),"OUT OF RANGE","OK")</f>
        <v>OK</v>
      </c>
      <c r="D24" s="1" t="str">
        <f>IF(OR(Enrollment_Log!G24&lt;105,Enrollment_Log!G24&gt;150),"OUTSIDE EXPECTED RANGE","OK")</f>
        <v>OK</v>
      </c>
      <c r="E24" s="1" t="str">
        <f>IF(OR(Enrollment_Log!H24&lt;65,Enrollment_Log!H24&gt;95),"OUTSIDE EXPECTED RANGE","OK")</f>
        <v>OK</v>
      </c>
      <c r="F24" s="1" t="str">
        <f>IF(OR(Enrollment_Log!I24&lt;58,Enrollment_Log!I24&gt;100),"OUTSIDE EXPECTED RANGE","OK")</f>
        <v>OK</v>
      </c>
      <c r="G24" t="str">
        <f>IF(AND(Enrollment_Log!J24&lt;&gt;"Yes",Enrollment_Log!K24&lt;&gt;""),"LOGIC  ERROR","OK")</f>
        <v>OK</v>
      </c>
      <c r="H24" t="str">
        <f>IF(Enrollment_Log!A24="","MISSING","OK")</f>
        <v>OK</v>
      </c>
      <c r="I24" t="str">
        <f>IF(Enrollment_Log!B24="","MISSING","OK")</f>
        <v>OK</v>
      </c>
      <c r="J24" s="1" t="str">
        <f t="shared" si="0"/>
        <v>OK</v>
      </c>
    </row>
    <row r="25" spans="1:10">
      <c r="A25" t="str">
        <f>Enrollment_Log!A25</f>
        <v>P024</v>
      </c>
      <c r="B25" t="str">
        <f>IF(OR(Enrollment_Log!E25&lt;100,Enrollment_Log!E25&gt;250),"OUT OF RANGE","OK")</f>
        <v>OK</v>
      </c>
      <c r="C25" t="str">
        <f>IF(OR(Enrollment_Log!F25&lt;30,Enrollment_Log!F25&gt;300),"OUT OF RANGE","OK")</f>
        <v>OK</v>
      </c>
      <c r="D25" s="1" t="str">
        <f>IF(OR(Enrollment_Log!G25&lt;105,Enrollment_Log!G25&gt;150),"OUTSIDE EXPECTED RANGE","OK")</f>
        <v>OK</v>
      </c>
      <c r="E25" s="1" t="str">
        <f>IF(OR(Enrollment_Log!H25&lt;65,Enrollment_Log!H25&gt;95),"OUTSIDE EXPECTED RANGE","OK")</f>
        <v>OK</v>
      </c>
      <c r="F25" s="1" t="str">
        <f>IF(OR(Enrollment_Log!I25&lt;58,Enrollment_Log!I25&gt;100),"OUTSIDE EXPECTED RANGE","OK")</f>
        <v>OK</v>
      </c>
      <c r="G25" t="str">
        <f>IF(AND(Enrollment_Log!J25&lt;&gt;"Yes",Enrollment_Log!K25&lt;&gt;""),"LOGIC  ERROR","OK")</f>
        <v>OK</v>
      </c>
      <c r="H25" t="str">
        <f>IF(Enrollment_Log!A25="","MISSING","OK")</f>
        <v>OK</v>
      </c>
      <c r="I25" t="str">
        <f>IF(Enrollment_Log!B25="","MISSING","OK")</f>
        <v>OK</v>
      </c>
      <c r="J25" s="1" t="str">
        <f t="shared" si="0"/>
        <v>OK</v>
      </c>
    </row>
    <row r="26" spans="1:10">
      <c r="A26" t="str">
        <f>Enrollment_Log!A26</f>
        <v>P025</v>
      </c>
      <c r="B26" t="str">
        <f>IF(OR(Enrollment_Log!E26&lt;100,Enrollment_Log!E26&gt;250),"OUT OF RANGE","OK")</f>
        <v>OK</v>
      </c>
      <c r="C26" t="str">
        <f>IF(OR(Enrollment_Log!F26&lt;30,Enrollment_Log!F26&gt;300),"OUT OF RANGE","OK")</f>
        <v>OK</v>
      </c>
      <c r="D26" s="1" t="str">
        <f>IF(OR(Enrollment_Log!G26&lt;105,Enrollment_Log!G26&gt;150),"OUTSIDE EXPECTED RANGE","OK")</f>
        <v>OK</v>
      </c>
      <c r="E26" s="1" t="str">
        <f>IF(OR(Enrollment_Log!H26&lt;65,Enrollment_Log!H26&gt;95),"OUTSIDE EXPECTED RANGE","OK")</f>
        <v>OK</v>
      </c>
      <c r="F26" s="1" t="str">
        <f>IF(OR(Enrollment_Log!I26&lt;58,Enrollment_Log!I26&gt;100),"OUTSIDE EXPECTED RANGE","OK")</f>
        <v>OK</v>
      </c>
      <c r="G26" t="str">
        <f>IF(AND(Enrollment_Log!J26&lt;&gt;"Yes",Enrollment_Log!K26&lt;&gt;""),"LOGIC  ERROR","OK")</f>
        <v>OK</v>
      </c>
      <c r="H26" t="str">
        <f>IF(Enrollment_Log!A26="","MISSING","OK")</f>
        <v>OK</v>
      </c>
      <c r="I26" t="str">
        <f>IF(Enrollment_Log!B26="","MISSING","OK")</f>
        <v>OK</v>
      </c>
      <c r="J26" s="1" t="str">
        <f t="shared" si="0"/>
        <v>OK</v>
      </c>
    </row>
    <row r="27" spans="1:10" ht="30">
      <c r="A27" t="str">
        <f>Enrollment_Log!A27</f>
        <v>P026</v>
      </c>
      <c r="B27" t="str">
        <f>IF(OR(Enrollment_Log!E27&lt;100,Enrollment_Log!E27&gt;250),"OUT OF RANGE","OK")</f>
        <v>OK</v>
      </c>
      <c r="C27" t="str">
        <f>IF(OR(Enrollment_Log!F27&lt;30,Enrollment_Log!F27&gt;300),"OUT OF RANGE","OK")</f>
        <v>OK</v>
      </c>
      <c r="D27" s="1" t="str">
        <f>IF(OR(Enrollment_Log!G27&lt;105,Enrollment_Log!G27&gt;150),"OUTSIDE EXPECTED RANGE","OK")</f>
        <v>OK</v>
      </c>
      <c r="E27" s="1" t="str">
        <f>IF(OR(Enrollment_Log!H27&lt;65,Enrollment_Log!H27&gt;95),"OUTSIDE EXPECTED RANGE","OK")</f>
        <v>OK</v>
      </c>
      <c r="F27" s="1" t="str">
        <f>IF(OR(Enrollment_Log!I27&lt;58,Enrollment_Log!I27&gt;100),"OUTSIDE EXPECTED RANGE","OK")</f>
        <v>OK</v>
      </c>
      <c r="G27" t="str">
        <f>IF(AND(Enrollment_Log!J27&lt;&gt;"Yes",Enrollment_Log!K27&lt;&gt;""),"LOGIC  ERROR","OK")</f>
        <v>OK</v>
      </c>
      <c r="H27" t="str">
        <f>IF(Enrollment_Log!A27="","MISSING","OK")</f>
        <v>OK</v>
      </c>
      <c r="I27" t="str">
        <f>IF(Enrollment_Log!B27="","MISSING","OK")</f>
        <v>OK</v>
      </c>
      <c r="J27" s="1" t="str">
        <f t="shared" si="0"/>
        <v>OK</v>
      </c>
    </row>
    <row r="28" spans="1:10">
      <c r="A28" t="str">
        <f>Enrollment_Log!A28</f>
        <v>P027</v>
      </c>
      <c r="B28" t="str">
        <f>IF(OR(Enrollment_Log!E28&lt;100,Enrollment_Log!E28&gt;250),"OUT OF RANGE","OK")</f>
        <v>OK</v>
      </c>
      <c r="C28" t="str">
        <f>IF(OR(Enrollment_Log!F28&lt;30,Enrollment_Log!F28&gt;300),"OUT OF RANGE","OK")</f>
        <v>OK</v>
      </c>
      <c r="D28" s="1" t="str">
        <f>IF(OR(Enrollment_Log!G28&lt;105,Enrollment_Log!G28&gt;150),"OUTSIDE EXPECTED RANGE","OK")</f>
        <v>OK</v>
      </c>
      <c r="E28" s="1" t="str">
        <f>IF(OR(Enrollment_Log!H28&lt;65,Enrollment_Log!H28&gt;95),"OUTSIDE EXPECTED RANGE","OK")</f>
        <v>OK</v>
      </c>
      <c r="F28" s="1" t="str">
        <f>IF(OR(Enrollment_Log!I28&lt;58,Enrollment_Log!I28&gt;100),"OUTSIDE EXPECTED RANGE","OK")</f>
        <v>OK</v>
      </c>
      <c r="G28" t="str">
        <f>IF(AND(Enrollment_Log!J28&lt;&gt;"Yes",Enrollment_Log!K28&lt;&gt;""),"LOGIC  ERROR","OK")</f>
        <v>OK</v>
      </c>
      <c r="H28" t="str">
        <f>IF(Enrollment_Log!A28="","MISSING","OK")</f>
        <v>OK</v>
      </c>
      <c r="I28" t="str">
        <f>IF(Enrollment_Log!B28="","MISSING","OK")</f>
        <v>OK</v>
      </c>
      <c r="J28" s="1" t="str">
        <f t="shared" si="0"/>
        <v>OK</v>
      </c>
    </row>
    <row r="29" spans="1:10">
      <c r="A29" t="str">
        <f>Enrollment_Log!A29</f>
        <v>P028</v>
      </c>
      <c r="B29" t="str">
        <f>IF(OR(Enrollment_Log!E29&lt;100,Enrollment_Log!E29&gt;250),"OUT OF RANGE","OK")</f>
        <v>OK</v>
      </c>
      <c r="C29" t="str">
        <f>IF(OR(Enrollment_Log!F29&lt;30,Enrollment_Log!F29&gt;300),"OUT OF RANGE","OK")</f>
        <v>OK</v>
      </c>
      <c r="D29" s="1" t="str">
        <f>IF(OR(Enrollment_Log!G29&lt;105,Enrollment_Log!G29&gt;150),"OUTSIDE EXPECTED RANGE","OK")</f>
        <v>OK</v>
      </c>
      <c r="E29" s="1" t="str">
        <f>IF(OR(Enrollment_Log!H29&lt;65,Enrollment_Log!H29&gt;95),"OUTSIDE EXPECTED RANGE","OK")</f>
        <v>OK</v>
      </c>
      <c r="F29" s="1" t="str">
        <f>IF(OR(Enrollment_Log!I29&lt;58,Enrollment_Log!I29&gt;100),"OUTSIDE EXPECTED RANGE","OK")</f>
        <v>OK</v>
      </c>
      <c r="G29" t="str">
        <f>IF(AND(Enrollment_Log!J29&lt;&gt;"Yes",Enrollment_Log!K29&lt;&gt;""),"LOGIC  ERROR","OK")</f>
        <v>OK</v>
      </c>
      <c r="H29" t="str">
        <f>IF(Enrollment_Log!A29="","MISSING","OK")</f>
        <v>OK</v>
      </c>
      <c r="I29" t="str">
        <f>IF(Enrollment_Log!B29="","MISSING","OK")</f>
        <v>OK</v>
      </c>
      <c r="J29" s="1" t="str">
        <f t="shared" si="0"/>
        <v>OK</v>
      </c>
    </row>
    <row r="30" spans="1:10">
      <c r="A30" t="str">
        <f>Enrollment_Log!A30</f>
        <v>P029</v>
      </c>
      <c r="B30" t="str">
        <f>IF(OR(Enrollment_Log!E30&lt;100,Enrollment_Log!E30&gt;250),"OUT OF RANGE","OK")</f>
        <v>OK</v>
      </c>
      <c r="C30" t="str">
        <f>IF(OR(Enrollment_Log!F30&lt;30,Enrollment_Log!F30&gt;300),"OUT OF RANGE","OK")</f>
        <v>OK</v>
      </c>
      <c r="D30" s="1" t="str">
        <f>IF(OR(Enrollment_Log!G30&lt;105,Enrollment_Log!G30&gt;150),"OUTSIDE EXPECTED RANGE","OK")</f>
        <v>OK</v>
      </c>
      <c r="E30" s="1" t="str">
        <f>IF(OR(Enrollment_Log!H30&lt;65,Enrollment_Log!H30&gt;95),"OUTSIDE EXPECTED RANGE","OK")</f>
        <v>OK</v>
      </c>
      <c r="F30" s="1" t="str">
        <f>IF(OR(Enrollment_Log!I30&lt;58,Enrollment_Log!I30&gt;100),"OUTSIDE EXPECTED RANGE","OK")</f>
        <v>OK</v>
      </c>
      <c r="G30" t="str">
        <f>IF(AND(Enrollment_Log!J30&lt;&gt;"Yes",Enrollment_Log!K30&lt;&gt;""),"LOGIC  ERROR","OK")</f>
        <v>OK</v>
      </c>
      <c r="H30" t="str">
        <f>IF(Enrollment_Log!A30="","MISSING","OK")</f>
        <v>OK</v>
      </c>
      <c r="I30" t="str">
        <f>IF(Enrollment_Log!B30="","MISSING","OK")</f>
        <v>OK</v>
      </c>
      <c r="J30" s="1" t="str">
        <f t="shared" si="0"/>
        <v>OK</v>
      </c>
    </row>
    <row r="31" spans="1:10" ht="30">
      <c r="A31" t="str">
        <f>Enrollment_Log!A31</f>
        <v>P030</v>
      </c>
      <c r="B31" t="str">
        <f>IF(OR(Enrollment_Log!E31&lt;100,Enrollment_Log!E31&gt;250),"OUT OF RANGE","OK")</f>
        <v>OK</v>
      </c>
      <c r="C31" t="str">
        <f>IF(OR(Enrollment_Log!F31&lt;30,Enrollment_Log!F31&gt;300),"OUT OF RANGE","OK")</f>
        <v>OK</v>
      </c>
      <c r="D31" s="1" t="str">
        <f>IF(OR(Enrollment_Log!G31&lt;105,Enrollment_Log!G31&gt;150),"OUTSIDE EXPECTED RANGE","OK")</f>
        <v>OK</v>
      </c>
      <c r="E31" s="1" t="str">
        <f>IF(OR(Enrollment_Log!H31&lt;65,Enrollment_Log!H31&gt;95),"OUTSIDE EXPECTED RANGE","OK")</f>
        <v>OK</v>
      </c>
      <c r="F31" s="1" t="str">
        <f>IF(OR(Enrollment_Log!I31&lt;58,Enrollment_Log!I31&gt;100),"OUTSIDE EXPECTED RANGE","OK")</f>
        <v>OK</v>
      </c>
      <c r="G31" t="str">
        <f>IF(AND(Enrollment_Log!J31&lt;&gt;"Yes",Enrollment_Log!K31&lt;&gt;""),"LOGIC  ERROR","OK")</f>
        <v>OK</v>
      </c>
      <c r="H31" t="str">
        <f>IF(Enrollment_Log!A31="","MISSING","OK")</f>
        <v>OK</v>
      </c>
      <c r="I31" t="str">
        <f>IF(Enrollment_Log!B31="","MISSING","OK")</f>
        <v>OK</v>
      </c>
      <c r="J31" s="1" t="str">
        <f t="shared" si="0"/>
        <v>OK</v>
      </c>
    </row>
    <row r="32" spans="1:10">
      <c r="D32" s="1"/>
    </row>
  </sheetData>
  <phoneticPr fontId="4" type="noConversion"/>
  <conditionalFormatting sqref="O1">
    <cfRule type="containsText" dxfId="7" priority="3" operator="containsText" text="OUTSIDE EXPECTED RANGE">
      <formula>NOT(ISERROR(SEARCH("OUTSIDE EXPECTED RANGE",O1)))</formula>
    </cfRule>
  </conditionalFormatting>
  <conditionalFormatting sqref="A2:J31">
    <cfRule type="containsText" dxfId="6" priority="2" operator="containsText" text="OUTSIDE">
      <formula>NOT(ISERROR(SEARCH("OUTSIDE",A2)))</formula>
    </cfRule>
  </conditionalFormatting>
  <conditionalFormatting sqref="J2:J32">
    <cfRule type="containsText" dxfId="3" priority="1" operator="containsText" text="REVI">
      <formula>NOT(ISERROR(SEARCH("REVI",J2)))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FD97-3C56-4B53-9DE1-DECEF62FC87C}">
  <dimension ref="A1:F31"/>
  <sheetViews>
    <sheetView topLeftCell="A4" workbookViewId="0">
      <selection activeCell="K15" sqref="K15"/>
    </sheetView>
  </sheetViews>
  <sheetFormatPr defaultRowHeight="15"/>
  <cols>
    <col min="1" max="1" width="13.85546875" customWidth="1"/>
    <col min="4" max="4" width="13.42578125" customWidth="1"/>
    <col min="5" max="5" width="33.42578125" customWidth="1"/>
  </cols>
  <sheetData>
    <row r="1" spans="1:6">
      <c r="A1" s="1" t="s">
        <v>25</v>
      </c>
      <c r="B1" s="1" t="s">
        <v>56</v>
      </c>
      <c r="C1" s="1" t="s">
        <v>61</v>
      </c>
      <c r="D1" s="1" t="s">
        <v>63</v>
      </c>
      <c r="E1" s="1" t="s">
        <v>122</v>
      </c>
      <c r="F1" s="1"/>
    </row>
    <row r="2" spans="1:6" ht="45">
      <c r="A2" t="str">
        <f>Enrollment_Log!A2</f>
        <v>P001</v>
      </c>
      <c r="B2">
        <f>Enrollment_Log!G2</f>
        <v>110</v>
      </c>
      <c r="C2">
        <f>Enrollment_Log!H2</f>
        <v>79</v>
      </c>
      <c r="D2">
        <f>Enrollment_Log!I2</f>
        <v>82</v>
      </c>
      <c r="E2" s="1" t="str">
        <f>IF(OR(B2&gt;180,C2&gt;120),"URGENT-NOTIFY PHYSICIAN",IF(OR(D2&lt;50,D2&gt;120),"REVIEW-ABNORMAL HEART RATE","NORMAL"))</f>
        <v>NORMAL</v>
      </c>
    </row>
    <row r="3" spans="1:6">
      <c r="A3" t="str">
        <f>Enrollment_Log!A3</f>
        <v>P002</v>
      </c>
      <c r="B3">
        <f>Enrollment_Log!G3</f>
        <v>140</v>
      </c>
      <c r="C3">
        <f>Enrollment_Log!H3</f>
        <v>79</v>
      </c>
      <c r="D3">
        <f>Enrollment_Log!I3</f>
        <v>59</v>
      </c>
      <c r="E3" s="1" t="str">
        <f t="shared" ref="E3:E31" si="0">IF(OR(B3&gt;180,C3&gt;120),"URGENT-NOTIFY PHYSICIAN",IF(OR(D3&lt;50,D3&gt;120),"REVIEW-ABNORMAL HEART RATE","NORMAL"))</f>
        <v>NORMAL</v>
      </c>
    </row>
    <row r="4" spans="1:6">
      <c r="A4" t="str">
        <f>Enrollment_Log!A4</f>
        <v>P003</v>
      </c>
      <c r="B4">
        <f>Enrollment_Log!G4</f>
        <v>150</v>
      </c>
      <c r="C4">
        <f>Enrollment_Log!H4</f>
        <v>90</v>
      </c>
      <c r="D4">
        <f>Enrollment_Log!I4</f>
        <v>100</v>
      </c>
      <c r="E4" s="1" t="str">
        <f t="shared" si="0"/>
        <v>NORMAL</v>
      </c>
    </row>
    <row r="5" spans="1:6">
      <c r="A5" t="str">
        <f>Enrollment_Log!A5</f>
        <v>P004</v>
      </c>
      <c r="B5">
        <f>Enrollment_Log!G5</f>
        <v>228</v>
      </c>
      <c r="C5">
        <f>Enrollment_Log!H5</f>
        <v>101</v>
      </c>
      <c r="D5">
        <f>Enrollment_Log!I5</f>
        <v>89</v>
      </c>
      <c r="E5" s="1" t="str">
        <f t="shared" si="0"/>
        <v>URGENT-NOTIFY PHYSICIAN</v>
      </c>
    </row>
    <row r="6" spans="1:6">
      <c r="A6" t="str">
        <f>Enrollment_Log!A6</f>
        <v>P005</v>
      </c>
      <c r="B6">
        <f>Enrollment_Log!G6</f>
        <v>150</v>
      </c>
      <c r="C6">
        <f>Enrollment_Log!H6</f>
        <v>92</v>
      </c>
      <c r="D6">
        <f>Enrollment_Log!I6</f>
        <v>63</v>
      </c>
      <c r="E6" s="1" t="str">
        <f t="shared" si="0"/>
        <v>NORMAL</v>
      </c>
    </row>
    <row r="7" spans="1:6">
      <c r="A7" t="str">
        <f>Enrollment_Log!A7</f>
        <v>P006</v>
      </c>
      <c r="B7">
        <f>Enrollment_Log!G7</f>
        <v>138</v>
      </c>
      <c r="C7">
        <f>Enrollment_Log!H7</f>
        <v>88</v>
      </c>
      <c r="D7">
        <f>Enrollment_Log!I7</f>
        <v>79</v>
      </c>
      <c r="E7" s="1" t="str">
        <f t="shared" si="0"/>
        <v>NORMAL</v>
      </c>
    </row>
    <row r="8" spans="1:6">
      <c r="A8" t="str">
        <f>Enrollment_Log!A8</f>
        <v>P007</v>
      </c>
      <c r="B8">
        <f>Enrollment_Log!G8</f>
        <v>150</v>
      </c>
      <c r="C8">
        <f>Enrollment_Log!H8</f>
        <v>75</v>
      </c>
      <c r="D8">
        <f>Enrollment_Log!I8</f>
        <v>124</v>
      </c>
      <c r="E8" s="1" t="str">
        <f t="shared" si="0"/>
        <v>REVIEW-ABNORMAL HEART RATE</v>
      </c>
    </row>
    <row r="9" spans="1:6">
      <c r="A9" t="str">
        <f>Enrollment_Log!A9</f>
        <v>P008</v>
      </c>
      <c r="B9">
        <f>Enrollment_Log!G9</f>
        <v>100</v>
      </c>
      <c r="C9">
        <f>Enrollment_Log!H9</f>
        <v>60</v>
      </c>
      <c r="D9">
        <f>Enrollment_Log!I9</f>
        <v>90</v>
      </c>
      <c r="E9" s="1" t="str">
        <f t="shared" si="0"/>
        <v>NORMAL</v>
      </c>
    </row>
    <row r="10" spans="1:6">
      <c r="A10" t="str">
        <f>Enrollment_Log!A10</f>
        <v>P009</v>
      </c>
      <c r="B10">
        <f>Enrollment_Log!G10</f>
        <v>138</v>
      </c>
      <c r="C10">
        <f>Enrollment_Log!H10</f>
        <v>90</v>
      </c>
      <c r="D10">
        <f>Enrollment_Log!I10</f>
        <v>62</v>
      </c>
      <c r="E10" s="1" t="str">
        <f t="shared" si="0"/>
        <v>NORMAL</v>
      </c>
    </row>
    <row r="11" spans="1:6">
      <c r="A11" t="str">
        <f>Enrollment_Log!A11</f>
        <v>P010</v>
      </c>
      <c r="B11">
        <f>Enrollment_Log!G11</f>
        <v>150</v>
      </c>
      <c r="C11">
        <f>Enrollment_Log!H11</f>
        <v>90</v>
      </c>
      <c r="D11">
        <f>Enrollment_Log!I11</f>
        <v>70</v>
      </c>
      <c r="E11" s="1" t="str">
        <f t="shared" si="0"/>
        <v>NORMAL</v>
      </c>
    </row>
    <row r="12" spans="1:6">
      <c r="A12" t="str">
        <f>Enrollment_Log!A12</f>
        <v>P011</v>
      </c>
      <c r="B12">
        <f>Enrollment_Log!G12</f>
        <v>185</v>
      </c>
      <c r="C12">
        <f>Enrollment_Log!H12</f>
        <v>100</v>
      </c>
      <c r="D12">
        <f>Enrollment_Log!I12</f>
        <v>98</v>
      </c>
      <c r="E12" s="1" t="str">
        <f t="shared" si="0"/>
        <v>URGENT-NOTIFY PHYSICIAN</v>
      </c>
    </row>
    <row r="13" spans="1:6">
      <c r="A13" t="str">
        <f>Enrollment_Log!A13</f>
        <v>P012</v>
      </c>
      <c r="B13">
        <f>Enrollment_Log!G13</f>
        <v>130</v>
      </c>
      <c r="C13">
        <f>Enrollment_Log!H13</f>
        <v>80</v>
      </c>
      <c r="D13">
        <f>Enrollment_Log!I13</f>
        <v>70</v>
      </c>
      <c r="E13" s="1" t="str">
        <f t="shared" si="0"/>
        <v>NORMAL</v>
      </c>
    </row>
    <row r="14" spans="1:6">
      <c r="A14" t="str">
        <f>Enrollment_Log!A14</f>
        <v>P013</v>
      </c>
      <c r="B14">
        <f>Enrollment_Log!G14</f>
        <v>150</v>
      </c>
      <c r="C14">
        <f>Enrollment_Log!H14</f>
        <v>88</v>
      </c>
      <c r="D14">
        <f>Enrollment_Log!I14</f>
        <v>69</v>
      </c>
      <c r="E14" s="1" t="str">
        <f t="shared" si="0"/>
        <v>NORMAL</v>
      </c>
    </row>
    <row r="15" spans="1:6">
      <c r="A15" t="str">
        <f>Enrollment_Log!A15</f>
        <v>P014</v>
      </c>
      <c r="B15">
        <f>Enrollment_Log!G15</f>
        <v>246</v>
      </c>
      <c r="C15">
        <f>Enrollment_Log!H15</f>
        <v>100</v>
      </c>
      <c r="D15">
        <f>Enrollment_Log!I15</f>
        <v>133</v>
      </c>
      <c r="E15" s="1" t="str">
        <f t="shared" si="0"/>
        <v>URGENT-NOTIFY PHYSICIAN</v>
      </c>
    </row>
    <row r="16" spans="1:6">
      <c r="A16" t="str">
        <f>Enrollment_Log!A16</f>
        <v>P015</v>
      </c>
      <c r="B16">
        <f>Enrollment_Log!G16</f>
        <v>110</v>
      </c>
      <c r="C16">
        <f>Enrollment_Log!H16</f>
        <v>70</v>
      </c>
      <c r="D16">
        <f>Enrollment_Log!I16</f>
        <v>82</v>
      </c>
      <c r="E16" s="1" t="str">
        <f t="shared" si="0"/>
        <v>NORMAL</v>
      </c>
    </row>
    <row r="17" spans="1:5">
      <c r="A17" t="str">
        <f>Enrollment_Log!A17</f>
        <v>P016</v>
      </c>
      <c r="B17">
        <f>Enrollment_Log!G17</f>
        <v>150</v>
      </c>
      <c r="C17">
        <f>Enrollment_Log!H17</f>
        <v>90</v>
      </c>
      <c r="D17">
        <f>Enrollment_Log!I17</f>
        <v>89</v>
      </c>
      <c r="E17" s="1" t="str">
        <f t="shared" si="0"/>
        <v>NORMAL</v>
      </c>
    </row>
    <row r="18" spans="1:5">
      <c r="A18" t="str">
        <f>Enrollment_Log!A18</f>
        <v>P017</v>
      </c>
      <c r="B18">
        <f>Enrollment_Log!G18</f>
        <v>140</v>
      </c>
      <c r="C18">
        <f>Enrollment_Log!H18</f>
        <v>88</v>
      </c>
      <c r="D18">
        <f>Enrollment_Log!I18</f>
        <v>95</v>
      </c>
      <c r="E18" s="1" t="str">
        <f t="shared" si="0"/>
        <v>NORMAL</v>
      </c>
    </row>
    <row r="19" spans="1:5">
      <c r="A19" t="str">
        <f>Enrollment_Log!A19</f>
        <v>P018</v>
      </c>
      <c r="B19">
        <f>Enrollment_Log!G19</f>
        <v>150</v>
      </c>
      <c r="C19">
        <f>Enrollment_Log!H19</f>
        <v>90</v>
      </c>
      <c r="D19">
        <f>Enrollment_Log!I19</f>
        <v>87</v>
      </c>
      <c r="E19" s="1" t="str">
        <f t="shared" si="0"/>
        <v>NORMAL</v>
      </c>
    </row>
    <row r="20" spans="1:5">
      <c r="A20" t="str">
        <f>Enrollment_Log!A20</f>
        <v>P019</v>
      </c>
      <c r="B20">
        <f>Enrollment_Log!G20</f>
        <v>132</v>
      </c>
      <c r="C20">
        <f>Enrollment_Log!H20</f>
        <v>81</v>
      </c>
      <c r="D20">
        <f>Enrollment_Log!I20</f>
        <v>80</v>
      </c>
      <c r="E20" s="1" t="str">
        <f t="shared" si="0"/>
        <v>NORMAL</v>
      </c>
    </row>
    <row r="21" spans="1:5">
      <c r="A21" t="str">
        <f>Enrollment_Log!A21</f>
        <v>P020</v>
      </c>
      <c r="B21">
        <f>Enrollment_Log!G21</f>
        <v>200</v>
      </c>
      <c r="C21">
        <f>Enrollment_Log!H21</f>
        <v>100</v>
      </c>
      <c r="D21">
        <f>Enrollment_Log!I21</f>
        <v>100</v>
      </c>
      <c r="E21" s="1" t="str">
        <f t="shared" si="0"/>
        <v>URGENT-NOTIFY PHYSICIAN</v>
      </c>
    </row>
    <row r="22" spans="1:5">
      <c r="A22" t="str">
        <f>Enrollment_Log!A22</f>
        <v>P021</v>
      </c>
      <c r="B22">
        <f>Enrollment_Log!G22</f>
        <v>133</v>
      </c>
      <c r="C22">
        <f>Enrollment_Log!H22</f>
        <v>86</v>
      </c>
      <c r="D22">
        <f>Enrollment_Log!I22</f>
        <v>67</v>
      </c>
      <c r="E22" s="1" t="str">
        <f t="shared" si="0"/>
        <v>NORMAL</v>
      </c>
    </row>
    <row r="23" spans="1:5">
      <c r="A23" t="str">
        <f>Enrollment_Log!A23</f>
        <v>P022</v>
      </c>
      <c r="B23">
        <f>Enrollment_Log!G23</f>
        <v>112</v>
      </c>
      <c r="C23">
        <f>Enrollment_Log!H23</f>
        <v>78</v>
      </c>
      <c r="D23">
        <f>Enrollment_Log!I23</f>
        <v>88</v>
      </c>
      <c r="E23" s="1" t="str">
        <f t="shared" si="0"/>
        <v>NORMAL</v>
      </c>
    </row>
    <row r="24" spans="1:5">
      <c r="A24" t="str">
        <f>Enrollment_Log!A24</f>
        <v>P023</v>
      </c>
      <c r="B24">
        <f>Enrollment_Log!G24</f>
        <v>120</v>
      </c>
      <c r="C24">
        <f>Enrollment_Log!H24</f>
        <v>84</v>
      </c>
      <c r="D24">
        <f>Enrollment_Log!I24</f>
        <v>81</v>
      </c>
      <c r="E24" s="1" t="str">
        <f t="shared" si="0"/>
        <v>NORMAL</v>
      </c>
    </row>
    <row r="25" spans="1:5">
      <c r="A25" t="str">
        <f>Enrollment_Log!A25</f>
        <v>P024</v>
      </c>
      <c r="B25">
        <f>Enrollment_Log!G25</f>
        <v>136</v>
      </c>
      <c r="C25">
        <f>Enrollment_Log!H25</f>
        <v>85</v>
      </c>
      <c r="D25">
        <f>Enrollment_Log!I25</f>
        <v>75</v>
      </c>
      <c r="E25" s="1" t="str">
        <f t="shared" si="0"/>
        <v>NORMAL</v>
      </c>
    </row>
    <row r="26" spans="1:5">
      <c r="A26" t="str">
        <f>Enrollment_Log!A26</f>
        <v>P025</v>
      </c>
      <c r="B26">
        <f>Enrollment_Log!G26</f>
        <v>140</v>
      </c>
      <c r="C26">
        <f>Enrollment_Log!H26</f>
        <v>80</v>
      </c>
      <c r="D26">
        <f>Enrollment_Log!I26</f>
        <v>82</v>
      </c>
      <c r="E26" s="1" t="str">
        <f t="shared" si="0"/>
        <v>NORMAL</v>
      </c>
    </row>
    <row r="27" spans="1:5">
      <c r="A27" t="str">
        <f>Enrollment_Log!A27</f>
        <v>P026</v>
      </c>
      <c r="B27">
        <f>Enrollment_Log!G27</f>
        <v>130</v>
      </c>
      <c r="C27">
        <f>Enrollment_Log!H27</f>
        <v>70</v>
      </c>
      <c r="D27">
        <f>Enrollment_Log!I27</f>
        <v>90</v>
      </c>
      <c r="E27" s="1" t="str">
        <f t="shared" si="0"/>
        <v>NORMAL</v>
      </c>
    </row>
    <row r="28" spans="1:5">
      <c r="A28" t="str">
        <f>Enrollment_Log!A28</f>
        <v>P027</v>
      </c>
      <c r="B28">
        <f>Enrollment_Log!G28</f>
        <v>142</v>
      </c>
      <c r="C28">
        <f>Enrollment_Log!H28</f>
        <v>91</v>
      </c>
      <c r="D28">
        <f>Enrollment_Log!I28</f>
        <v>69</v>
      </c>
      <c r="E28" s="1" t="str">
        <f t="shared" si="0"/>
        <v>NORMAL</v>
      </c>
    </row>
    <row r="29" spans="1:5">
      <c r="A29" t="str">
        <f>Enrollment_Log!A29</f>
        <v>P028</v>
      </c>
      <c r="B29">
        <f>Enrollment_Log!G29</f>
        <v>107</v>
      </c>
      <c r="C29">
        <f>Enrollment_Log!H29</f>
        <v>66</v>
      </c>
      <c r="D29">
        <f>Enrollment_Log!I29</f>
        <v>74</v>
      </c>
      <c r="E29" s="1" t="str">
        <f t="shared" si="0"/>
        <v>NORMAL</v>
      </c>
    </row>
    <row r="30" spans="1:5">
      <c r="A30" t="str">
        <f>Enrollment_Log!A30</f>
        <v>P029</v>
      </c>
      <c r="B30">
        <f>Enrollment_Log!G30</f>
        <v>106</v>
      </c>
      <c r="C30">
        <f>Enrollment_Log!H30</f>
        <v>66</v>
      </c>
      <c r="D30">
        <f>Enrollment_Log!I30</f>
        <v>71</v>
      </c>
      <c r="E30" s="1" t="str">
        <f t="shared" si="0"/>
        <v>NORMAL</v>
      </c>
    </row>
    <row r="31" spans="1:5">
      <c r="A31" t="str">
        <f>Enrollment_Log!A31</f>
        <v>P030</v>
      </c>
      <c r="B31">
        <f>Enrollment_Log!G31</f>
        <v>138</v>
      </c>
      <c r="C31">
        <f>Enrollment_Log!H31</f>
        <v>86</v>
      </c>
      <c r="D31">
        <f>Enrollment_Log!I31</f>
        <v>98</v>
      </c>
      <c r="E31" s="1" t="str">
        <f t="shared" si="0"/>
        <v>NORMAL</v>
      </c>
    </row>
  </sheetData>
  <conditionalFormatting sqref="E1:E31">
    <cfRule type="containsText" dxfId="0" priority="2" operator="containsText" text="URGE">
      <formula>NOT(ISERROR(SEARCH("URGE",E1)))</formula>
    </cfRule>
    <cfRule type="containsText" dxfId="1" priority="1" operator="containsText" text="REV">
      <formula>NOT(ISERROR(SEARCH("REV",E1)))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2462-95FA-482B-9DD5-D9D12DF8A22F}">
  <dimension ref="A1:B7"/>
  <sheetViews>
    <sheetView workbookViewId="0">
      <selection activeCell="B8" sqref="B8"/>
    </sheetView>
  </sheetViews>
  <sheetFormatPr defaultRowHeight="15"/>
  <cols>
    <col min="1" max="1" width="15.85546875" customWidth="1"/>
  </cols>
  <sheetData>
    <row r="1" spans="1:2" ht="30">
      <c r="A1" s="12" t="s">
        <v>123</v>
      </c>
    </row>
    <row r="3" spans="1:2" ht="30">
      <c r="A3" s="1" t="s">
        <v>124</v>
      </c>
      <c r="B3">
        <f>COUNTA(Enrollment_Log!A2:A31)</f>
        <v>30</v>
      </c>
    </row>
    <row r="4" spans="1:2" ht="30">
      <c r="A4" s="1" t="s">
        <v>125</v>
      </c>
      <c r="B4">
        <f>COUNTIF(Enrollment_Log!J2:J31,"YES")</f>
        <v>8</v>
      </c>
    </row>
    <row r="5" spans="1:2">
      <c r="A5" t="s">
        <v>126</v>
      </c>
      <c r="B5">
        <f>ROUND(AVERAGE(Enrollment_Log!N2:N31),1)</f>
        <v>28.6</v>
      </c>
    </row>
    <row r="6" spans="1:2" ht="30">
      <c r="A6" s="1" t="s">
        <v>127</v>
      </c>
      <c r="B6">
        <f>COUNTIF(QC_Query_Log!J2:J31,"REVIEW NEEDED")</f>
        <v>6</v>
      </c>
    </row>
    <row r="7" spans="1:2" ht="30">
      <c r="A7" s="1" t="s">
        <v>128</v>
      </c>
      <c r="B7">
        <f>COUNTIF(Vital_Sign_Alerts!E2:E31,"URGENT-NOTIFY PHYSICIAN")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DATA_DICTIONARY</vt:lpstr>
      <vt:lpstr>Enrollment_Log</vt:lpstr>
      <vt:lpstr>QC_Query_Log</vt:lpstr>
      <vt:lpstr>Vital_Sign_Alerts</vt:lpstr>
      <vt:lpstr>Daily_Status_Report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</dc:creator>
  <cp:lastModifiedBy>Nayana</cp:lastModifiedBy>
  <dcterms:created xsi:type="dcterms:W3CDTF">2026-07-27T12:26:54Z</dcterms:created>
  <dcterms:modified xsi:type="dcterms:W3CDTF">2026-07-30T12:06:28Z</dcterms:modified>
</cp:coreProperties>
</file>